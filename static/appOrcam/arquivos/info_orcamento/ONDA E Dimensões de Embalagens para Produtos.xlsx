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\Documents\GitHub\Dj_srcx_Orcamento\appOrcam\static\arquivos\info_orcamento\"/>
    </mc:Choice>
  </mc:AlternateContent>
  <xr:revisionPtr revIDLastSave="0" documentId="8_{3FFB94B2-C00D-49A2-8B4A-CE24BC1FD9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imensões de Embalagens para 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6" i="1"/>
  <c r="L17" i="1"/>
  <c r="L18" i="1"/>
  <c r="L19" i="1"/>
  <c r="L20" i="1"/>
  <c r="L21" i="1"/>
  <c r="L15" i="1"/>
  <c r="F25" i="1"/>
  <c r="I3" i="1"/>
  <c r="I4" i="1"/>
  <c r="I5" i="1"/>
  <c r="I2" i="1"/>
</calcChain>
</file>

<file path=xl/sharedStrings.xml><?xml version="1.0" encoding="utf-8"?>
<sst xmlns="http://schemas.openxmlformats.org/spreadsheetml/2006/main" count="147" uniqueCount="65">
  <si>
    <t>Bolo 1 kg</t>
  </si>
  <si>
    <t>25 x 25 x 10</t>
  </si>
  <si>
    <t>45 x 65</t>
  </si>
  <si>
    <t>Esfiha Média (6-8 unid)</t>
  </si>
  <si>
    <t>24 x 24 x 4</t>
  </si>
  <si>
    <t>32 x 54</t>
  </si>
  <si>
    <t>Esfiha Pequena (Individual)</t>
  </si>
  <si>
    <t>12 x 12 x 4</t>
  </si>
  <si>
    <t>20 x 28</t>
  </si>
  <si>
    <t>Sanduíche de Metro</t>
  </si>
  <si>
    <t>100 x 15 x 10</t>
  </si>
  <si>
    <t>120 x 45</t>
  </si>
  <si>
    <t>tipo_papelao</t>
  </si>
  <si>
    <t>Onda E</t>
  </si>
  <si>
    <t>medida da Chapa Aberta (cm)*</t>
  </si>
  <si>
    <t xml:space="preserve">medida_caixa_montada_cm </t>
  </si>
  <si>
    <t>largura_chapa_aberta_cm</t>
  </si>
  <si>
    <t>comprimento_chapa_aberta_cm</t>
  </si>
  <si>
    <t>quantidade_minima</t>
  </si>
  <si>
    <t>unidades_chapa</t>
  </si>
  <si>
    <t>explicacao_tecnica</t>
  </si>
  <si>
    <t>A caixa aberta ocupa quase toda a área. É um corte simples.</t>
  </si>
  <si>
    <t>Você coloca 4 caixas abertas (32x50) em uma chapa grande de 65x100.</t>
  </si>
  <si>
    <t>Por ser pequena (20x28), você consegue um excelente aproveitamento em chapas padrão.</t>
  </si>
  <si>
    <t>Devido ao comprimento (1 metro), ela exige uma chapa longa e exclusiva.</t>
  </si>
  <si>
    <t>area_m2</t>
  </si>
  <si>
    <t>nome</t>
  </si>
  <si>
    <t>id</t>
  </si>
  <si>
    <t>bigint AI PK</t>
  </si>
  <si>
    <t>varchar(100)</t>
  </si>
  <si>
    <t>largura_cm</t>
  </si>
  <si>
    <t>decimal(7,2)</t>
  </si>
  <si>
    <t>comprimento_cm</t>
  </si>
  <si>
    <t>varchar(50)</t>
  </si>
  <si>
    <t>custo_m2</t>
  </si>
  <si>
    <t>decimal(10,2)</t>
  </si>
  <si>
    <t>estoque_disponivel</t>
  </si>
  <si>
    <t>tinyint(1)</t>
  </si>
  <si>
    <t>gramatura_kg_m2</t>
  </si>
  <si>
    <t>larg_apara_m</t>
  </si>
  <si>
    <t>preco_apara_kg</t>
  </si>
  <si>
    <t>preco_kg_compra</t>
  </si>
  <si>
    <t>Onda B</t>
  </si>
  <si>
    <t>0.01</t>
  </si>
  <si>
    <t>0.80</t>
  </si>
  <si>
    <t>não</t>
  </si>
  <si>
    <t>Pizza -Caixa 25 - Chapa 35x70</t>
  </si>
  <si>
    <t>Pizza -Caixa 30 - Chapa 40x80</t>
  </si>
  <si>
    <t>Pizza -Caixa 35 - Chapa 45x90</t>
  </si>
  <si>
    <t>Pizza -Caixa 40 - Chapa 50x100</t>
  </si>
  <si>
    <t>Pizza -Caixa 45 - Chapa 55x110</t>
  </si>
  <si>
    <t>Kibe de Forma (P)</t>
  </si>
  <si>
    <t>20 x 14 x 4 cm</t>
  </si>
  <si>
    <t>Cabe 9 vezes em uma chapa de 65x85cm.</t>
  </si>
  <si>
    <t>Kibe de Forma (M)</t>
  </si>
  <si>
    <t>25 x 18 x 5 cm</t>
  </si>
  <si>
    <t>Cabe 6 vezes em uma chapa de 75x100cm.</t>
  </si>
  <si>
    <t>Kibe de Forma (G)</t>
  </si>
  <si>
    <t>35 x 25 x 5 cm</t>
  </si>
  <si>
    <t>Cabe 4 vezes em uma chapa de 95x75cm.</t>
  </si>
  <si>
    <t>diam. 25 - altura 4</t>
  </si>
  <si>
    <t>diam. 30 - altura 4</t>
  </si>
  <si>
    <t>diam. 35 - altura 4</t>
  </si>
  <si>
    <t>diam. 40 - altura 4</t>
  </si>
  <si>
    <t>diam. 45 - altura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</si>
</sst>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sz val="10"/>
      <color rgb="FF71717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2" borderId="0" xfId="0" applyFont="1" applyFill="1" applyAlignment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5" sqref="C15"/>
    </sheetView>
  </sheetViews>
  <sheetFormatPr defaultColWidth="12.5703125" defaultRowHeight="15.75" customHeight="1" x14ac:dyDescent="0.2"/>
  <cols>
    <col min="1" max="1" width="28.28515625" bestFit="1" customWidth="1"/>
    <col min="2" max="2" width="33.28515625" customWidth="1"/>
    <col min="3" max="3" width="18" customWidth="1"/>
    <col min="4" max="4" width="12.42578125" customWidth="1"/>
    <col min="5" max="5" width="12.85546875" style="3" customWidth="1"/>
    <col min="6" max="6" width="17" style="3" customWidth="1"/>
    <col min="7" max="7" width="21.5703125" style="3" customWidth="1"/>
    <col min="8" max="8" width="18.28515625" style="3" customWidth="1"/>
    <col min="9" max="9" width="14.85546875" style="3" bestFit="1" customWidth="1"/>
    <col min="10" max="10" width="14.5703125" style="3" bestFit="1" customWidth="1"/>
    <col min="11" max="11" width="16.7109375" customWidth="1"/>
    <col min="13" max="13" width="78.140625" bestFit="1" customWidth="1"/>
  </cols>
  <sheetData>
    <row r="1" spans="1:13" ht="12.75" x14ac:dyDescent="0.2">
      <c r="A1" s="6" t="s">
        <v>26</v>
      </c>
      <c r="B1" s="1" t="s">
        <v>15</v>
      </c>
      <c r="C1" s="1" t="s">
        <v>14</v>
      </c>
      <c r="D1" s="6" t="s">
        <v>12</v>
      </c>
      <c r="E1" s="6" t="s">
        <v>16</v>
      </c>
      <c r="F1" s="6"/>
      <c r="G1" s="6" t="s">
        <v>17</v>
      </c>
      <c r="H1" s="4" t="s">
        <v>18</v>
      </c>
      <c r="I1" s="4" t="s">
        <v>25</v>
      </c>
    </row>
    <row r="2" spans="1:13" ht="12.75" x14ac:dyDescent="0.2">
      <c r="A2" s="1" t="s">
        <v>0</v>
      </c>
      <c r="C2" s="1" t="s">
        <v>2</v>
      </c>
      <c r="D2" s="1" t="s">
        <v>13</v>
      </c>
      <c r="E2" s="3">
        <v>45</v>
      </c>
      <c r="G2" s="3">
        <v>65</v>
      </c>
      <c r="H2" s="4">
        <v>500</v>
      </c>
      <c r="I2" s="5">
        <f>+E2*G2/10000</f>
        <v>0.29249999999999998</v>
      </c>
    </row>
    <row r="3" spans="1:13" ht="12.75" x14ac:dyDescent="0.2">
      <c r="A3" s="1" t="s">
        <v>3</v>
      </c>
      <c r="C3" s="1" t="s">
        <v>5</v>
      </c>
      <c r="D3" s="1" t="s">
        <v>13</v>
      </c>
      <c r="E3" s="3">
        <v>32</v>
      </c>
      <c r="G3" s="3">
        <v>54</v>
      </c>
      <c r="H3" s="4">
        <v>500</v>
      </c>
      <c r="I3" s="5">
        <f t="shared" ref="I3:I5" si="0">+E3*G3/10000</f>
        <v>0.17280000000000001</v>
      </c>
    </row>
    <row r="4" spans="1:13" ht="12.75" x14ac:dyDescent="0.2">
      <c r="A4" s="1" t="s">
        <v>6</v>
      </c>
      <c r="C4" s="1" t="s">
        <v>8</v>
      </c>
      <c r="D4" s="1" t="s">
        <v>13</v>
      </c>
      <c r="E4" s="3">
        <v>20</v>
      </c>
      <c r="G4" s="3">
        <v>28</v>
      </c>
      <c r="H4" s="4">
        <v>500</v>
      </c>
      <c r="I4" s="5">
        <f t="shared" si="0"/>
        <v>5.6000000000000001E-2</v>
      </c>
    </row>
    <row r="5" spans="1:13" ht="12.75" x14ac:dyDescent="0.2">
      <c r="A5" s="1" t="s">
        <v>9</v>
      </c>
      <c r="C5" s="1" t="s">
        <v>11</v>
      </c>
      <c r="D5" s="1" t="s">
        <v>13</v>
      </c>
      <c r="E5" s="3">
        <v>120</v>
      </c>
      <c r="G5" s="3">
        <v>45</v>
      </c>
      <c r="H5" s="4">
        <v>500</v>
      </c>
      <c r="I5" s="5">
        <f t="shared" si="0"/>
        <v>0.54</v>
      </c>
    </row>
    <row r="9" spans="1:13" ht="35.25" customHeight="1" x14ac:dyDescent="0.2">
      <c r="A9" s="18" t="s">
        <v>26</v>
      </c>
      <c r="B9" s="1" t="s">
        <v>15</v>
      </c>
      <c r="C9" s="18" t="s">
        <v>30</v>
      </c>
      <c r="D9" s="18" t="s">
        <v>32</v>
      </c>
      <c r="E9" s="18" t="s">
        <v>12</v>
      </c>
      <c r="F9" s="18" t="s">
        <v>34</v>
      </c>
      <c r="G9" s="3" t="s">
        <v>19</v>
      </c>
      <c r="H9" s="18" t="s">
        <v>36</v>
      </c>
      <c r="I9" s="18" t="s">
        <v>38</v>
      </c>
      <c r="J9" s="18" t="s">
        <v>39</v>
      </c>
      <c r="K9" s="18" t="s">
        <v>40</v>
      </c>
      <c r="L9" s="18" t="s">
        <v>41</v>
      </c>
      <c r="M9" t="s">
        <v>20</v>
      </c>
    </row>
    <row r="10" spans="1:13" ht="15.75" customHeight="1" x14ac:dyDescent="0.2">
      <c r="A10" s="10" t="s">
        <v>46</v>
      </c>
      <c r="B10" s="2" t="s">
        <v>60</v>
      </c>
      <c r="C10" s="14">
        <v>35</v>
      </c>
      <c r="D10" s="14">
        <v>70</v>
      </c>
      <c r="E10" s="10" t="s">
        <v>42</v>
      </c>
      <c r="F10" s="10">
        <v>2.92</v>
      </c>
      <c r="G10" s="3">
        <v>1</v>
      </c>
      <c r="H10" s="10" t="s">
        <v>45</v>
      </c>
      <c r="I10" s="10">
        <v>0.45</v>
      </c>
      <c r="J10" s="10" t="s">
        <v>43</v>
      </c>
      <c r="K10" s="10" t="s">
        <v>44</v>
      </c>
      <c r="L10" s="17">
        <f t="shared" ref="L10:L14" si="1">+F10/I10</f>
        <v>6.4888888888888889</v>
      </c>
      <c r="M10" s="16"/>
    </row>
    <row r="11" spans="1:13" ht="15.75" customHeight="1" x14ac:dyDescent="0.2">
      <c r="A11" s="10" t="s">
        <v>47</v>
      </c>
      <c r="B11" s="2" t="s">
        <v>61</v>
      </c>
      <c r="C11" s="14">
        <v>40</v>
      </c>
      <c r="D11" s="14">
        <v>80</v>
      </c>
      <c r="E11" s="10" t="s">
        <v>42</v>
      </c>
      <c r="F11" s="10">
        <v>2.92</v>
      </c>
      <c r="G11" s="3">
        <v>1</v>
      </c>
      <c r="H11" s="10" t="s">
        <v>45</v>
      </c>
      <c r="I11" s="10">
        <v>0.45</v>
      </c>
      <c r="J11" s="10" t="s">
        <v>43</v>
      </c>
      <c r="K11" s="10" t="s">
        <v>44</v>
      </c>
      <c r="L11" s="17">
        <f t="shared" si="1"/>
        <v>6.4888888888888889</v>
      </c>
      <c r="M11" s="16"/>
    </row>
    <row r="12" spans="1:13" ht="15.75" customHeight="1" x14ac:dyDescent="0.2">
      <c r="A12" s="10" t="s">
        <v>48</v>
      </c>
      <c r="B12" s="2" t="s">
        <v>62</v>
      </c>
      <c r="C12" s="14">
        <v>45</v>
      </c>
      <c r="D12" s="14">
        <v>90</v>
      </c>
      <c r="E12" s="10" t="s">
        <v>42</v>
      </c>
      <c r="F12" s="10">
        <v>2.92</v>
      </c>
      <c r="G12" s="3">
        <v>1</v>
      </c>
      <c r="H12" s="10" t="s">
        <v>45</v>
      </c>
      <c r="I12" s="10">
        <v>0.45</v>
      </c>
      <c r="J12" s="10" t="s">
        <v>43</v>
      </c>
      <c r="K12" s="10" t="s">
        <v>44</v>
      </c>
      <c r="L12" s="17">
        <f t="shared" si="1"/>
        <v>6.4888888888888889</v>
      </c>
      <c r="M12" s="16"/>
    </row>
    <row r="13" spans="1:13" ht="15.75" customHeight="1" x14ac:dyDescent="0.2">
      <c r="A13" s="10" t="s">
        <v>49</v>
      </c>
      <c r="B13" s="2" t="s">
        <v>63</v>
      </c>
      <c r="C13" s="14">
        <v>50</v>
      </c>
      <c r="D13" s="14">
        <v>100</v>
      </c>
      <c r="E13" s="10" t="s">
        <v>42</v>
      </c>
      <c r="F13" s="10">
        <v>2.92</v>
      </c>
      <c r="G13" s="3">
        <v>1</v>
      </c>
      <c r="H13" s="10" t="s">
        <v>45</v>
      </c>
      <c r="I13" s="10">
        <v>0.45</v>
      </c>
      <c r="J13" s="10" t="s">
        <v>43</v>
      </c>
      <c r="K13" s="10" t="s">
        <v>44</v>
      </c>
      <c r="L13" s="17">
        <f t="shared" si="1"/>
        <v>6.4888888888888889</v>
      </c>
      <c r="M13" s="16"/>
    </row>
    <row r="14" spans="1:13" ht="15.75" customHeight="1" x14ac:dyDescent="0.2">
      <c r="A14" s="10" t="s">
        <v>50</v>
      </c>
      <c r="B14" s="2" t="s">
        <v>64</v>
      </c>
      <c r="C14" s="14">
        <v>55</v>
      </c>
      <c r="D14" s="14">
        <v>110</v>
      </c>
      <c r="E14" s="10" t="s">
        <v>42</v>
      </c>
      <c r="F14" s="10">
        <v>2.92</v>
      </c>
      <c r="G14" s="14">
        <v>1</v>
      </c>
      <c r="H14" s="10" t="s">
        <v>45</v>
      </c>
      <c r="I14" s="10">
        <v>0.45</v>
      </c>
      <c r="J14" s="10" t="s">
        <v>43</v>
      </c>
      <c r="K14" s="10" t="s">
        <v>44</v>
      </c>
      <c r="L14" s="17">
        <f t="shared" si="1"/>
        <v>6.4888888888888889</v>
      </c>
      <c r="M14" s="16"/>
    </row>
    <row r="15" spans="1:13" s="11" customFormat="1" ht="15.75" customHeight="1" x14ac:dyDescent="0.2">
      <c r="A15" s="11" t="s">
        <v>0</v>
      </c>
      <c r="B15" s="1" t="s">
        <v>1</v>
      </c>
      <c r="C15" s="15">
        <v>50</v>
      </c>
      <c r="D15" s="15">
        <v>100</v>
      </c>
      <c r="E15" s="11" t="s">
        <v>13</v>
      </c>
      <c r="F15" s="19">
        <v>3.7</v>
      </c>
      <c r="G15" s="12">
        <v>2</v>
      </c>
      <c r="H15" s="13" t="s">
        <v>45</v>
      </c>
      <c r="I15" s="19">
        <v>0.4</v>
      </c>
      <c r="J15" s="13" t="s">
        <v>43</v>
      </c>
      <c r="K15" s="13" t="s">
        <v>44</v>
      </c>
      <c r="L15" s="17">
        <f>+F15/I15</f>
        <v>9.25</v>
      </c>
      <c r="M15" s="2" t="s">
        <v>21</v>
      </c>
    </row>
    <row r="16" spans="1:13" s="11" customFormat="1" ht="15.75" customHeight="1" x14ac:dyDescent="0.2">
      <c r="A16" s="11" t="s">
        <v>3</v>
      </c>
      <c r="B16" s="1" t="s">
        <v>4</v>
      </c>
      <c r="C16" s="15">
        <v>50</v>
      </c>
      <c r="D16" s="15">
        <v>100</v>
      </c>
      <c r="E16" s="11" t="s">
        <v>13</v>
      </c>
      <c r="F16" s="19">
        <v>3.7</v>
      </c>
      <c r="G16" s="12">
        <v>2</v>
      </c>
      <c r="H16" s="13" t="s">
        <v>45</v>
      </c>
      <c r="I16" s="19">
        <v>0.4</v>
      </c>
      <c r="J16" s="13" t="s">
        <v>43</v>
      </c>
      <c r="K16" s="13" t="s">
        <v>44</v>
      </c>
      <c r="L16" s="17">
        <f t="shared" ref="L16:L21" si="2">+F16/I16</f>
        <v>9.25</v>
      </c>
      <c r="M16" s="2" t="s">
        <v>22</v>
      </c>
    </row>
    <row r="17" spans="1:13" s="11" customFormat="1" ht="15.75" customHeight="1" x14ac:dyDescent="0.2">
      <c r="A17" s="11" t="s">
        <v>6</v>
      </c>
      <c r="B17" s="1" t="s">
        <v>7</v>
      </c>
      <c r="C17" s="15">
        <v>55</v>
      </c>
      <c r="D17" s="15">
        <v>110</v>
      </c>
      <c r="E17" s="11" t="s">
        <v>13</v>
      </c>
      <c r="F17" s="19">
        <v>3.7</v>
      </c>
      <c r="G17" s="12">
        <v>10</v>
      </c>
      <c r="H17" s="13" t="s">
        <v>45</v>
      </c>
      <c r="I17" s="19">
        <v>0.4</v>
      </c>
      <c r="J17" s="13" t="s">
        <v>43</v>
      </c>
      <c r="K17" s="13" t="s">
        <v>44</v>
      </c>
      <c r="L17" s="17">
        <f t="shared" si="2"/>
        <v>9.25</v>
      </c>
      <c r="M17" s="2" t="s">
        <v>23</v>
      </c>
    </row>
    <row r="18" spans="1:13" s="11" customFormat="1" ht="15.75" customHeight="1" x14ac:dyDescent="0.2">
      <c r="A18" s="11" t="s">
        <v>9</v>
      </c>
      <c r="B18" s="1" t="s">
        <v>10</v>
      </c>
      <c r="C18" s="15">
        <v>55</v>
      </c>
      <c r="D18" s="15">
        <v>110</v>
      </c>
      <c r="E18" s="11" t="s">
        <v>13</v>
      </c>
      <c r="F18" s="19">
        <v>3.7</v>
      </c>
      <c r="G18" s="12">
        <v>1</v>
      </c>
      <c r="H18" s="13" t="s">
        <v>45</v>
      </c>
      <c r="I18" s="19">
        <v>0.4</v>
      </c>
      <c r="J18" s="13" t="s">
        <v>43</v>
      </c>
      <c r="K18" s="13" t="s">
        <v>44</v>
      </c>
      <c r="L18" s="17">
        <f t="shared" si="2"/>
        <v>9.25</v>
      </c>
      <c r="M18" s="2" t="s">
        <v>24</v>
      </c>
    </row>
    <row r="19" spans="1:13" ht="15.75" customHeight="1" x14ac:dyDescent="0.2">
      <c r="A19" s="10" t="s">
        <v>51</v>
      </c>
      <c r="B19" s="10" t="s">
        <v>52</v>
      </c>
      <c r="C19" s="15">
        <v>65</v>
      </c>
      <c r="D19" s="15">
        <v>85</v>
      </c>
      <c r="E19" s="11" t="s">
        <v>13</v>
      </c>
      <c r="F19" s="19">
        <v>3.7</v>
      </c>
      <c r="G19" s="3">
        <v>9</v>
      </c>
      <c r="H19" s="13" t="s">
        <v>45</v>
      </c>
      <c r="I19" s="19">
        <v>0.4</v>
      </c>
      <c r="J19" s="13" t="s">
        <v>43</v>
      </c>
      <c r="K19" s="13" t="s">
        <v>44</v>
      </c>
      <c r="L19" s="17">
        <f t="shared" si="2"/>
        <v>9.25</v>
      </c>
      <c r="M19" t="s">
        <v>53</v>
      </c>
    </row>
    <row r="20" spans="1:13" ht="15.75" customHeight="1" x14ac:dyDescent="0.2">
      <c r="A20" s="10" t="s">
        <v>54</v>
      </c>
      <c r="B20" s="10" t="s">
        <v>55</v>
      </c>
      <c r="C20" s="15">
        <v>75</v>
      </c>
      <c r="D20" s="15">
        <v>100</v>
      </c>
      <c r="E20" s="11" t="s">
        <v>13</v>
      </c>
      <c r="F20" s="19">
        <v>3.7</v>
      </c>
      <c r="G20" s="3">
        <v>6</v>
      </c>
      <c r="H20" s="13" t="s">
        <v>45</v>
      </c>
      <c r="I20" s="19">
        <v>0.4</v>
      </c>
      <c r="J20" s="13" t="s">
        <v>43</v>
      </c>
      <c r="K20" s="13" t="s">
        <v>44</v>
      </c>
      <c r="L20" s="17">
        <f t="shared" si="2"/>
        <v>9.25</v>
      </c>
      <c r="M20" t="s">
        <v>56</v>
      </c>
    </row>
    <row r="21" spans="1:13" ht="15.75" customHeight="1" x14ac:dyDescent="0.2">
      <c r="A21" s="10" t="s">
        <v>57</v>
      </c>
      <c r="B21" s="10" t="s">
        <v>58</v>
      </c>
      <c r="C21" s="15">
        <v>95</v>
      </c>
      <c r="D21" s="15">
        <v>75</v>
      </c>
      <c r="E21" s="11" t="s">
        <v>13</v>
      </c>
      <c r="F21" s="19">
        <v>3.7</v>
      </c>
      <c r="G21" s="3">
        <v>4</v>
      </c>
      <c r="H21" s="13" t="s">
        <v>45</v>
      </c>
      <c r="I21" s="19">
        <v>0.4</v>
      </c>
      <c r="J21" s="13" t="s">
        <v>43</v>
      </c>
      <c r="K21" s="13" t="s">
        <v>44</v>
      </c>
      <c r="L21" s="17">
        <f t="shared" si="2"/>
        <v>9.25</v>
      </c>
      <c r="M21" s="2" t="s">
        <v>59</v>
      </c>
    </row>
    <row r="22" spans="1:13" ht="15.75" customHeight="1" x14ac:dyDescent="0.2">
      <c r="A22" s="10"/>
      <c r="B22" s="9"/>
    </row>
    <row r="25" spans="1:13" ht="15.75" customHeight="1" x14ac:dyDescent="0.2">
      <c r="B25" s="7" t="s">
        <v>27</v>
      </c>
      <c r="C25" s="8" t="s">
        <v>28</v>
      </c>
      <c r="F25" s="3">
        <f>2.92/0.45</f>
        <v>6.4888888888888889</v>
      </c>
    </row>
    <row r="26" spans="1:13" ht="15.75" customHeight="1" x14ac:dyDescent="0.2">
      <c r="B26" s="18" t="s">
        <v>26</v>
      </c>
      <c r="C26" s="8" t="s">
        <v>29</v>
      </c>
      <c r="D26" t="s">
        <v>26</v>
      </c>
    </row>
    <row r="27" spans="1:13" ht="15.75" customHeight="1" x14ac:dyDescent="0.2">
      <c r="B27" s="18" t="s">
        <v>30</v>
      </c>
      <c r="C27" s="8" t="s">
        <v>31</v>
      </c>
      <c r="D27" t="s">
        <v>15</v>
      </c>
    </row>
    <row r="28" spans="1:13" ht="15.75" customHeight="1" x14ac:dyDescent="0.2">
      <c r="B28" s="18" t="s">
        <v>32</v>
      </c>
      <c r="C28" s="8" t="s">
        <v>31</v>
      </c>
      <c r="D28" t="s">
        <v>30</v>
      </c>
    </row>
    <row r="29" spans="1:13" ht="15.75" customHeight="1" x14ac:dyDescent="0.2">
      <c r="B29" s="18" t="s">
        <v>12</v>
      </c>
      <c r="C29" s="8" t="s">
        <v>33</v>
      </c>
      <c r="D29" t="s">
        <v>32</v>
      </c>
    </row>
    <row r="30" spans="1:13" ht="15.75" customHeight="1" x14ac:dyDescent="0.2">
      <c r="B30" s="18" t="s">
        <v>34</v>
      </c>
      <c r="C30" s="8" t="s">
        <v>35</v>
      </c>
      <c r="D30" t="s">
        <v>12</v>
      </c>
    </row>
    <row r="31" spans="1:13" ht="15.75" customHeight="1" x14ac:dyDescent="0.2">
      <c r="B31" s="18" t="s">
        <v>36</v>
      </c>
      <c r="C31" s="8" t="s">
        <v>37</v>
      </c>
      <c r="D31" t="s">
        <v>34</v>
      </c>
    </row>
    <row r="32" spans="1:13" ht="15.75" customHeight="1" x14ac:dyDescent="0.2">
      <c r="B32" s="18" t="s">
        <v>38</v>
      </c>
      <c r="C32" s="8" t="s">
        <v>31</v>
      </c>
      <c r="D32" t="s">
        <v>19</v>
      </c>
    </row>
    <row r="33" spans="2:4" ht="15.75" customHeight="1" x14ac:dyDescent="0.2">
      <c r="B33" s="18" t="s">
        <v>39</v>
      </c>
      <c r="C33" s="8" t="s">
        <v>31</v>
      </c>
      <c r="D33" t="s">
        <v>36</v>
      </c>
    </row>
    <row r="34" spans="2:4" ht="15.75" customHeight="1" x14ac:dyDescent="0.2">
      <c r="B34" s="18" t="s">
        <v>40</v>
      </c>
      <c r="C34" s="8" t="s">
        <v>31</v>
      </c>
      <c r="D34" t="s">
        <v>38</v>
      </c>
    </row>
    <row r="35" spans="2:4" ht="15.75" customHeight="1" x14ac:dyDescent="0.2">
      <c r="B35" s="18" t="s">
        <v>41</v>
      </c>
      <c r="C35" s="8" t="s">
        <v>31</v>
      </c>
      <c r="D35" t="s">
        <v>39</v>
      </c>
    </row>
    <row r="36" spans="2:4" ht="15.75" customHeight="1" x14ac:dyDescent="0.2">
      <c r="D36" t="s">
        <v>40</v>
      </c>
    </row>
    <row r="37" spans="2:4" ht="15.75" customHeight="1" x14ac:dyDescent="0.2">
      <c r="D37" t="s">
        <v>41</v>
      </c>
    </row>
    <row r="38" spans="2:4" ht="15.75" customHeight="1" x14ac:dyDescent="0.2">
      <c r="D38" t="s">
        <v>20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Dimensões de Embalagens para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dcterms:created xsi:type="dcterms:W3CDTF">2026-03-26T03:23:54Z</dcterms:created>
  <dcterms:modified xsi:type="dcterms:W3CDTF">2026-03-26T03:23:54Z</dcterms:modified>
</cp:coreProperties>
</file>