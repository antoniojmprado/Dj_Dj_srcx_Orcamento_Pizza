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an\tab_bases\"/>
    </mc:Choice>
  </mc:AlternateContent>
  <xr:revisionPtr revIDLastSave="0" documentId="13_ncr:1_{90D02953-32A3-4AA5-BE0D-AB042B8DF9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os" sheetId="12" r:id="rId1"/>
    <sheet name="Tabela" sheetId="5" r:id="rId2"/>
    <sheet name="Forneria Original" sheetId="11" r:id="rId3"/>
    <sheet name="Suburbanos" sheetId="7" r:id="rId4"/>
    <sheet name="Hashtag" sheetId="10" r:id="rId5"/>
    <sheet name="Rão" sheetId="6" r:id="rId6"/>
    <sheet name="Planilha2" sheetId="8" r:id="rId7"/>
    <sheet name="Planilha3" sheetId="9" r:id="rId8"/>
  </sheets>
  <externalReferences>
    <externalReference r:id="rId9"/>
  </externalReferences>
  <definedNames>
    <definedName name="_xlnm._FilterDatabase" localSheetId="0" hidden="1">produtos!$A$1:$I$185</definedName>
    <definedName name="_xlnm._FilterDatabase" localSheetId="1" hidden="1">Tabela!$A$1:$P$153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" i="5" l="1"/>
  <c r="AB24" i="5" s="1"/>
  <c r="Z23" i="5"/>
  <c r="AA23" i="5" s="1"/>
  <c r="AB22" i="5"/>
  <c r="Z22" i="5"/>
  <c r="AA22" i="5" s="1"/>
  <c r="M32" i="5"/>
  <c r="L32" i="5"/>
  <c r="N32" i="5" s="1"/>
  <c r="N25" i="5"/>
  <c r="K32" i="5"/>
  <c r="M25" i="5"/>
  <c r="N6" i="8"/>
  <c r="N7" i="8"/>
  <c r="N8" i="8"/>
  <c r="N5" i="8"/>
  <c r="M5" i="8"/>
  <c r="P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3" i="5"/>
  <c r="L4" i="5"/>
  <c r="N4" i="5" s="1"/>
  <c r="M4" i="5"/>
  <c r="L5" i="5"/>
  <c r="N5" i="5" s="1"/>
  <c r="M5" i="5"/>
  <c r="L6" i="5"/>
  <c r="N6" i="5" s="1"/>
  <c r="M6" i="5"/>
  <c r="L7" i="5"/>
  <c r="M7" i="5"/>
  <c r="N7" i="5"/>
  <c r="L8" i="5"/>
  <c r="M8" i="5"/>
  <c r="N8" i="5"/>
  <c r="L9" i="5"/>
  <c r="N9" i="5" s="1"/>
  <c r="M9" i="5"/>
  <c r="L10" i="5"/>
  <c r="N10" i="5" s="1"/>
  <c r="M10" i="5"/>
  <c r="L11" i="5"/>
  <c r="M11" i="5"/>
  <c r="N11" i="5"/>
  <c r="L12" i="5"/>
  <c r="M12" i="5"/>
  <c r="N12" i="5"/>
  <c r="L13" i="5"/>
  <c r="N13" i="5" s="1"/>
  <c r="M13" i="5"/>
  <c r="L14" i="5"/>
  <c r="N14" i="5" s="1"/>
  <c r="M14" i="5"/>
  <c r="L15" i="5"/>
  <c r="M15" i="5"/>
  <c r="N15" i="5"/>
  <c r="L16" i="5"/>
  <c r="M16" i="5"/>
  <c r="N16" i="5"/>
  <c r="L17" i="5"/>
  <c r="N17" i="5" s="1"/>
  <c r="M17" i="5"/>
  <c r="L18" i="5"/>
  <c r="N18" i="5" s="1"/>
  <c r="M18" i="5"/>
  <c r="L19" i="5"/>
  <c r="M19" i="5"/>
  <c r="N19" i="5"/>
  <c r="L20" i="5"/>
  <c r="M20" i="5"/>
  <c r="N20" i="5"/>
  <c r="L21" i="5"/>
  <c r="N21" i="5" s="1"/>
  <c r="M21" i="5"/>
  <c r="L22" i="5"/>
  <c r="N22" i="5" s="1"/>
  <c r="M22" i="5"/>
  <c r="L23" i="5"/>
  <c r="M23" i="5"/>
  <c r="N23" i="5"/>
  <c r="L24" i="5"/>
  <c r="M24" i="5"/>
  <c r="N24" i="5"/>
  <c r="L25" i="5"/>
  <c r="N3" i="5"/>
  <c r="M3" i="5"/>
  <c r="L3" i="5"/>
  <c r="P10" i="5"/>
  <c r="P11" i="5"/>
  <c r="P15" i="5"/>
  <c r="P18" i="5"/>
  <c r="P23" i="5"/>
  <c r="P26" i="5"/>
  <c r="P27" i="5"/>
  <c r="P30" i="5"/>
  <c r="P31" i="5"/>
  <c r="P34" i="5"/>
  <c r="P38" i="5"/>
  <c r="P39" i="5"/>
  <c r="P43" i="5"/>
  <c r="P46" i="5"/>
  <c r="P47" i="5"/>
  <c r="P50" i="5"/>
  <c r="P51" i="5"/>
  <c r="P54" i="5"/>
  <c r="P58" i="5"/>
  <c r="P59" i="5"/>
  <c r="P63" i="5"/>
  <c r="P64" i="5"/>
  <c r="P65" i="5"/>
  <c r="P66" i="5"/>
  <c r="P70" i="5"/>
  <c r="P77" i="5"/>
  <c r="P78" i="5"/>
  <c r="P83" i="5"/>
  <c r="P84" i="5"/>
  <c r="P86" i="5"/>
  <c r="P90" i="5"/>
  <c r="P91" i="5"/>
  <c r="P95" i="5"/>
  <c r="P96" i="5"/>
  <c r="P98" i="5"/>
  <c r="P103" i="5"/>
  <c r="P111" i="5"/>
  <c r="P113" i="5"/>
  <c r="P114" i="5"/>
  <c r="P116" i="5"/>
  <c r="P117" i="5"/>
  <c r="P119" i="5"/>
  <c r="P120" i="5"/>
  <c r="P123" i="5"/>
  <c r="P124" i="5"/>
  <c r="P126" i="5"/>
  <c r="P129" i="5"/>
  <c r="P130" i="5"/>
  <c r="P133" i="5"/>
  <c r="P134" i="5"/>
  <c r="P135" i="5"/>
  <c r="P140" i="5"/>
  <c r="P141" i="5"/>
  <c r="P142" i="5"/>
  <c r="P143" i="5"/>
  <c r="P146" i="5"/>
  <c r="P147" i="5"/>
  <c r="P151" i="5"/>
  <c r="P154" i="5"/>
  <c r="P155" i="5"/>
  <c r="P156" i="5"/>
  <c r="P163" i="5"/>
  <c r="P164" i="5"/>
  <c r="P167" i="5"/>
  <c r="P169" i="5"/>
  <c r="P170" i="5"/>
  <c r="P173" i="5"/>
  <c r="P174" i="5"/>
  <c r="P176" i="5"/>
  <c r="P177" i="5"/>
  <c r="P178" i="5"/>
  <c r="P180" i="5"/>
  <c r="P181" i="5"/>
  <c r="P182" i="5"/>
  <c r="P183" i="5"/>
  <c r="P184" i="5"/>
  <c r="P186" i="5"/>
  <c r="P187" i="5"/>
  <c r="P190" i="5"/>
  <c r="P191" i="5"/>
  <c r="P192" i="5"/>
  <c r="P194" i="5"/>
  <c r="P199" i="5"/>
  <c r="P200" i="5"/>
  <c r="P202" i="5"/>
  <c r="P203" i="5"/>
  <c r="P204" i="5"/>
  <c r="P206" i="5"/>
  <c r="P207" i="5"/>
  <c r="P209" i="5"/>
  <c r="P210" i="5"/>
  <c r="P213" i="5"/>
  <c r="P214" i="5"/>
  <c r="P219" i="5"/>
  <c r="P222" i="5"/>
  <c r="I5" i="8"/>
  <c r="J5" i="8" s="1"/>
  <c r="K5" i="8"/>
  <c r="L5" i="8"/>
  <c r="L3" i="11"/>
  <c r="M3" i="11"/>
  <c r="L4" i="11"/>
  <c r="M4" i="11"/>
  <c r="M2" i="11"/>
  <c r="L2" i="11"/>
  <c r="L6" i="8"/>
  <c r="M6" i="8"/>
  <c r="M7" i="8"/>
  <c r="M8" i="8"/>
  <c r="AD34" i="5"/>
  <c r="AD35" i="5"/>
  <c r="AD36" i="5"/>
  <c r="AD37" i="5"/>
  <c r="AD38" i="5"/>
  <c r="AD39" i="5"/>
  <c r="AD44" i="5"/>
  <c r="AD45" i="5"/>
  <c r="AD33" i="5"/>
  <c r="I3" i="5"/>
  <c r="Z33" i="5"/>
  <c r="AC33" i="5" s="1"/>
  <c r="I3" i="11"/>
  <c r="I33" i="5"/>
  <c r="K33" i="5" s="1"/>
  <c r="I15" i="5"/>
  <c r="I13" i="5"/>
  <c r="I14" i="5"/>
  <c r="I44" i="5"/>
  <c r="I45" i="5"/>
  <c r="P45" i="5" s="1"/>
  <c r="I4" i="11"/>
  <c r="I2" i="11"/>
  <c r="J3" i="11"/>
  <c r="I157" i="5"/>
  <c r="I48" i="5"/>
  <c r="I3" i="10"/>
  <c r="K3" i="10" s="1"/>
  <c r="I46" i="5"/>
  <c r="I93" i="5"/>
  <c r="I40" i="5"/>
  <c r="I80" i="5"/>
  <c r="P80" i="5" s="1"/>
  <c r="I2" i="10"/>
  <c r="J2" i="10" s="1"/>
  <c r="I4" i="10"/>
  <c r="K4" i="10" s="1"/>
  <c r="J4" i="10"/>
  <c r="H10" i="5"/>
  <c r="I10" i="5" s="1"/>
  <c r="I51" i="5"/>
  <c r="I137" i="5"/>
  <c r="K46" i="5"/>
  <c r="I152" i="5"/>
  <c r="P152" i="5" s="1"/>
  <c r="I28" i="5"/>
  <c r="I53" i="5"/>
  <c r="P53" i="5" s="1"/>
  <c r="I166" i="5"/>
  <c r="I167" i="5"/>
  <c r="J167" i="5" s="1"/>
  <c r="I168" i="5"/>
  <c r="P168" i="5" s="1"/>
  <c r="I43" i="5"/>
  <c r="I32" i="5"/>
  <c r="I34" i="5"/>
  <c r="I41" i="5"/>
  <c r="P41" i="5" s="1"/>
  <c r="I36" i="5"/>
  <c r="I35" i="5"/>
  <c r="I39" i="5"/>
  <c r="Z45" i="5"/>
  <c r="AC45" i="5" s="1"/>
  <c r="Z44" i="5"/>
  <c r="AC44" i="5" s="1"/>
  <c r="I153" i="5"/>
  <c r="J153" i="5" s="1"/>
  <c r="I11" i="5"/>
  <c r="J11" i="5"/>
  <c r="I52" i="5"/>
  <c r="I54" i="5"/>
  <c r="I47" i="5"/>
  <c r="K47" i="5" s="1"/>
  <c r="I224" i="5"/>
  <c r="I38" i="5"/>
  <c r="I81" i="5"/>
  <c r="I4" i="7"/>
  <c r="J4" i="7" s="1"/>
  <c r="I58" i="5"/>
  <c r="I60" i="5"/>
  <c r="I223" i="5"/>
  <c r="I222" i="5"/>
  <c r="K51" i="5"/>
  <c r="I195" i="5"/>
  <c r="I8" i="8"/>
  <c r="K8" i="8" s="1"/>
  <c r="I7" i="8"/>
  <c r="L7" i="8" s="1"/>
  <c r="I6" i="8"/>
  <c r="K6" i="8" s="1"/>
  <c r="I79" i="5"/>
  <c r="P79" i="5" s="1"/>
  <c r="I42" i="5"/>
  <c r="K42" i="5" s="1"/>
  <c r="I221" i="5"/>
  <c r="P221" i="5" s="1"/>
  <c r="I220" i="5"/>
  <c r="J220" i="5"/>
  <c r="K220" i="5"/>
  <c r="I219" i="5"/>
  <c r="J34" i="5"/>
  <c r="Z38" i="5"/>
  <c r="AA38" i="5" s="1"/>
  <c r="Z39" i="5"/>
  <c r="AC39" i="5" s="1"/>
  <c r="Z37" i="5"/>
  <c r="AC37" i="5" s="1"/>
  <c r="I149" i="5"/>
  <c r="I150" i="5"/>
  <c r="J150" i="5" s="1"/>
  <c r="I151" i="5"/>
  <c r="I86" i="5"/>
  <c r="I87" i="5"/>
  <c r="I88" i="5"/>
  <c r="I89" i="5"/>
  <c r="P89" i="5" s="1"/>
  <c r="I101" i="5"/>
  <c r="Z34" i="5"/>
  <c r="AA34" i="5" s="1"/>
  <c r="I9" i="5"/>
  <c r="P9" i="5" s="1"/>
  <c r="I3" i="7"/>
  <c r="J3" i="7" s="1"/>
  <c r="I2" i="7"/>
  <c r="K2" i="7" s="1"/>
  <c r="I202" i="5"/>
  <c r="J202" i="5" s="1"/>
  <c r="I201" i="5"/>
  <c r="I194" i="5"/>
  <c r="J194" i="5" s="1"/>
  <c r="I107" i="5"/>
  <c r="I104" i="5"/>
  <c r="I66" i="5"/>
  <c r="I25" i="5"/>
  <c r="K25" i="5" s="1"/>
  <c r="I20" i="5"/>
  <c r="I16" i="5"/>
  <c r="I73" i="5"/>
  <c r="P73" i="5" s="1"/>
  <c r="I49" i="5"/>
  <c r="K49" i="5" s="1"/>
  <c r="I50" i="5"/>
  <c r="I55" i="5"/>
  <c r="I56" i="5"/>
  <c r="J56" i="5" s="1"/>
  <c r="I57" i="5"/>
  <c r="P57" i="5" s="1"/>
  <c r="I59" i="5"/>
  <c r="I37" i="5"/>
  <c r="I205" i="5"/>
  <c r="I193" i="5"/>
  <c r="I185" i="5"/>
  <c r="K185" i="5" s="1"/>
  <c r="I182" i="5"/>
  <c r="J182" i="5"/>
  <c r="I178" i="5"/>
  <c r="I135" i="5"/>
  <c r="J135" i="5" s="1"/>
  <c r="I97" i="5"/>
  <c r="K97" i="5" s="1"/>
  <c r="I69" i="5"/>
  <c r="K201" i="5"/>
  <c r="K101" i="5"/>
  <c r="I162" i="5"/>
  <c r="I22" i="5"/>
  <c r="I19" i="5"/>
  <c r="I189" i="5"/>
  <c r="J89" i="5"/>
  <c r="I92" i="5"/>
  <c r="I94" i="5"/>
  <c r="I115" i="5"/>
  <c r="P115" i="5" s="1"/>
  <c r="I20" i="6"/>
  <c r="K20" i="6" s="1"/>
  <c r="I7" i="5"/>
  <c r="P7" i="5" s="1"/>
  <c r="I8" i="5"/>
  <c r="K9" i="5"/>
  <c r="I6" i="5"/>
  <c r="I4" i="5"/>
  <c r="I190" i="5"/>
  <c r="J190" i="5"/>
  <c r="H34" i="6"/>
  <c r="I33" i="6"/>
  <c r="K33" i="6" s="1"/>
  <c r="I32" i="6"/>
  <c r="J32" i="6" s="1"/>
  <c r="I31" i="6"/>
  <c r="J31" i="6" s="1"/>
  <c r="I30" i="6"/>
  <c r="K30" i="6" s="1"/>
  <c r="I29" i="6"/>
  <c r="K29" i="6" s="1"/>
  <c r="I28" i="6"/>
  <c r="J28" i="6" s="1"/>
  <c r="I27" i="6"/>
  <c r="K27" i="6" s="1"/>
  <c r="H25" i="6"/>
  <c r="I24" i="6"/>
  <c r="K24" i="6" s="1"/>
  <c r="I23" i="6"/>
  <c r="K23" i="6" s="1"/>
  <c r="I22" i="6"/>
  <c r="J22" i="6" s="1"/>
  <c r="I21" i="6"/>
  <c r="K21" i="6" s="1"/>
  <c r="I19" i="6"/>
  <c r="K19" i="6" s="1"/>
  <c r="H18" i="6"/>
  <c r="I17" i="6"/>
  <c r="K17" i="6" s="1"/>
  <c r="I16" i="6"/>
  <c r="J16" i="6" s="1"/>
  <c r="I15" i="6"/>
  <c r="K15" i="6" s="1"/>
  <c r="I14" i="6"/>
  <c r="K14" i="6" s="1"/>
  <c r="I13" i="6"/>
  <c r="J13" i="6" s="1"/>
  <c r="I12" i="6"/>
  <c r="K12" i="6" s="1"/>
  <c r="I11" i="6"/>
  <c r="J11" i="6" s="1"/>
  <c r="O9" i="6"/>
  <c r="N9" i="6"/>
  <c r="H9" i="6"/>
  <c r="I8" i="6"/>
  <c r="K8" i="6" s="1"/>
  <c r="I7" i="6"/>
  <c r="K7" i="6" s="1"/>
  <c r="I6" i="6"/>
  <c r="K6" i="6"/>
  <c r="I5" i="6"/>
  <c r="K5" i="6" s="1"/>
  <c r="I3" i="6"/>
  <c r="K3" i="6" s="1"/>
  <c r="I2" i="6"/>
  <c r="K2" i="6" s="1"/>
  <c r="I218" i="5"/>
  <c r="I217" i="5"/>
  <c r="I216" i="5"/>
  <c r="I215" i="5"/>
  <c r="I212" i="5"/>
  <c r="I211" i="5"/>
  <c r="I208" i="5"/>
  <c r="P208" i="5" s="1"/>
  <c r="I207" i="5"/>
  <c r="I206" i="5"/>
  <c r="I198" i="5"/>
  <c r="I197" i="5"/>
  <c r="I196" i="5"/>
  <c r="I188" i="5"/>
  <c r="I179" i="5"/>
  <c r="K179" i="5" s="1"/>
  <c r="I175" i="5"/>
  <c r="I172" i="5"/>
  <c r="I171" i="5"/>
  <c r="K167" i="5"/>
  <c r="I165" i="5"/>
  <c r="I161" i="5"/>
  <c r="I160" i="5"/>
  <c r="I159" i="5"/>
  <c r="P159" i="5" s="1"/>
  <c r="I158" i="5"/>
  <c r="J157" i="5"/>
  <c r="K157" i="5"/>
  <c r="K149" i="5"/>
  <c r="I148" i="5"/>
  <c r="P148" i="5" s="1"/>
  <c r="I145" i="5"/>
  <c r="J145" i="5"/>
  <c r="I144" i="5"/>
  <c r="P144" i="5" s="1"/>
  <c r="I143" i="5"/>
  <c r="I142" i="5"/>
  <c r="I139" i="5"/>
  <c r="I138" i="5"/>
  <c r="J138" i="5" s="1"/>
  <c r="I136" i="5"/>
  <c r="I132" i="5"/>
  <c r="K132" i="5"/>
  <c r="I131" i="5"/>
  <c r="I128" i="5"/>
  <c r="I127" i="5"/>
  <c r="K127" i="5"/>
  <c r="J127" i="5"/>
  <c r="I126" i="5"/>
  <c r="I125" i="5"/>
  <c r="I122" i="5"/>
  <c r="I121" i="5"/>
  <c r="I118" i="5"/>
  <c r="I112" i="5"/>
  <c r="J112" i="5"/>
  <c r="I111" i="5"/>
  <c r="I110" i="5"/>
  <c r="I109" i="5"/>
  <c r="I108" i="5"/>
  <c r="J107" i="5"/>
  <c r="I106" i="5"/>
  <c r="J106" i="5" s="1"/>
  <c r="I105" i="5"/>
  <c r="I103" i="5"/>
  <c r="I102" i="5"/>
  <c r="I100" i="5"/>
  <c r="I99" i="5"/>
  <c r="K99" i="5"/>
  <c r="I98" i="5"/>
  <c r="J86" i="5"/>
  <c r="I85" i="5"/>
  <c r="P85" i="5" s="1"/>
  <c r="I82" i="5"/>
  <c r="K80" i="5"/>
  <c r="I76" i="5"/>
  <c r="K76" i="5"/>
  <c r="I75" i="5"/>
  <c r="P75" i="5" s="1"/>
  <c r="I74" i="5"/>
  <c r="I72" i="5"/>
  <c r="I71" i="5"/>
  <c r="I70" i="5"/>
  <c r="I68" i="5"/>
  <c r="P68" i="5" s="1"/>
  <c r="I67" i="5"/>
  <c r="J67" i="5"/>
  <c r="I63" i="5"/>
  <c r="K63" i="5" s="1"/>
  <c r="I62" i="5"/>
  <c r="I61" i="5"/>
  <c r="J50" i="5"/>
  <c r="Y40" i="5"/>
  <c r="AB39" i="5"/>
  <c r="Z36" i="5"/>
  <c r="AA36" i="5" s="1"/>
  <c r="Z35" i="5"/>
  <c r="I29" i="5"/>
  <c r="K29" i="5"/>
  <c r="I24" i="5"/>
  <c r="I23" i="5"/>
  <c r="I21" i="5"/>
  <c r="K20" i="5"/>
  <c r="I18" i="5"/>
  <c r="I17" i="5"/>
  <c r="J15" i="5"/>
  <c r="I12" i="5"/>
  <c r="K12" i="5"/>
  <c r="I5" i="5"/>
  <c r="K4" i="5"/>
  <c r="K100" i="5"/>
  <c r="J196" i="5"/>
  <c r="K196" i="5"/>
  <c r="J122" i="5"/>
  <c r="K122" i="5"/>
  <c r="K206" i="5"/>
  <c r="J206" i="5"/>
  <c r="K13" i="6"/>
  <c r="K166" i="5"/>
  <c r="K148" i="5"/>
  <c r="J158" i="5"/>
  <c r="K112" i="5"/>
  <c r="K212" i="5"/>
  <c r="J99" i="5"/>
  <c r="K103" i="5"/>
  <c r="K70" i="5"/>
  <c r="K215" i="5"/>
  <c r="AA39" i="5"/>
  <c r="J12" i="6"/>
  <c r="J7" i="6"/>
  <c r="K21" i="5"/>
  <c r="J108" i="5"/>
  <c r="J132" i="5"/>
  <c r="J109" i="5"/>
  <c r="J126" i="5"/>
  <c r="J104" i="5"/>
  <c r="J76" i="5"/>
  <c r="K115" i="5"/>
  <c r="K15" i="5"/>
  <c r="K5" i="5"/>
  <c r="K75" i="5"/>
  <c r="J49" i="5"/>
  <c r="J37" i="5"/>
  <c r="K110" i="5"/>
  <c r="J142" i="5"/>
  <c r="J137" i="5"/>
  <c r="K50" i="5"/>
  <c r="J6" i="6"/>
  <c r="J23" i="6"/>
  <c r="K217" i="5"/>
  <c r="J217" i="5"/>
  <c r="J12" i="5"/>
  <c r="J18" i="5"/>
  <c r="AA35" i="5"/>
  <c r="K58" i="5"/>
  <c r="K143" i="5"/>
  <c r="AB33" i="5"/>
  <c r="J51" i="5"/>
  <c r="K57" i="5"/>
  <c r="K61" i="5"/>
  <c r="K71" i="5"/>
  <c r="K86" i="5"/>
  <c r="K156" i="5"/>
  <c r="J156" i="5"/>
  <c r="K145" i="5"/>
  <c r="J188" i="5"/>
  <c r="J198" i="5"/>
  <c r="J7" i="8"/>
  <c r="K128" i="5"/>
  <c r="J128" i="5"/>
  <c r="J2" i="7"/>
  <c r="K3" i="7"/>
  <c r="AB23" i="5" l="1"/>
  <c r="AA24" i="5"/>
  <c r="O32" i="5"/>
  <c r="AC35" i="5"/>
  <c r="AB35" i="5"/>
  <c r="P102" i="5"/>
  <c r="P121" i="5"/>
  <c r="K121" i="5"/>
  <c r="J121" i="5"/>
  <c r="K165" i="5"/>
  <c r="P165" i="5"/>
  <c r="P197" i="5"/>
  <c r="P215" i="5"/>
  <c r="J6" i="5"/>
  <c r="P6" i="5"/>
  <c r="K6" i="5"/>
  <c r="P94" i="5"/>
  <c r="P69" i="5"/>
  <c r="J69" i="5"/>
  <c r="K205" i="5"/>
  <c r="P205" i="5"/>
  <c r="J205" i="5"/>
  <c r="K88" i="5"/>
  <c r="P88" i="5"/>
  <c r="J223" i="5"/>
  <c r="P223" i="5"/>
  <c r="P81" i="5"/>
  <c r="K35" i="5"/>
  <c r="J32" i="5"/>
  <c r="P32" i="5"/>
  <c r="J166" i="5"/>
  <c r="P166" i="5"/>
  <c r="P40" i="5"/>
  <c r="J40" i="5"/>
  <c r="K48" i="5"/>
  <c r="P48" i="5"/>
  <c r="J48" i="5"/>
  <c r="P13" i="5"/>
  <c r="AC38" i="5"/>
  <c r="P150" i="5"/>
  <c r="P138" i="5"/>
  <c r="P131" i="5"/>
  <c r="P35" i="5"/>
  <c r="AA33" i="5"/>
  <c r="J19" i="5"/>
  <c r="J165" i="5"/>
  <c r="K13" i="5"/>
  <c r="K19" i="5"/>
  <c r="P24" i="5"/>
  <c r="J24" i="5"/>
  <c r="J61" i="5"/>
  <c r="P61" i="5"/>
  <c r="P67" i="5"/>
  <c r="P72" i="5"/>
  <c r="P108" i="5"/>
  <c r="P160" i="5"/>
  <c r="K160" i="5"/>
  <c r="P198" i="5"/>
  <c r="K216" i="5"/>
  <c r="P216" i="5"/>
  <c r="J216" i="5"/>
  <c r="K7" i="5"/>
  <c r="AB38" i="5"/>
  <c r="K37" i="5"/>
  <c r="P37" i="5"/>
  <c r="J55" i="5"/>
  <c r="P55" i="5"/>
  <c r="P16" i="5"/>
  <c r="P104" i="5"/>
  <c r="J87" i="5"/>
  <c r="P87" i="5"/>
  <c r="P149" i="5"/>
  <c r="J35" i="5"/>
  <c r="J60" i="5"/>
  <c r="P60" i="5"/>
  <c r="K52" i="5"/>
  <c r="P52" i="5"/>
  <c r="K36" i="5"/>
  <c r="P36" i="5"/>
  <c r="J36" i="5"/>
  <c r="P137" i="5"/>
  <c r="P93" i="5"/>
  <c r="P211" i="5"/>
  <c r="P42" i="5"/>
  <c r="K67" i="5"/>
  <c r="J211" i="5"/>
  <c r="P5" i="5"/>
  <c r="P62" i="5"/>
  <c r="K62" i="5"/>
  <c r="P74" i="5"/>
  <c r="J74" i="5"/>
  <c r="K74" i="5"/>
  <c r="K87" i="5"/>
  <c r="P100" i="5"/>
  <c r="J100" i="5"/>
  <c r="P105" i="5"/>
  <c r="P109" i="5"/>
  <c r="P112" i="5"/>
  <c r="P125" i="5"/>
  <c r="P132" i="5"/>
  <c r="P145" i="5"/>
  <c r="P162" i="5"/>
  <c r="P20" i="5"/>
  <c r="J20" i="5"/>
  <c r="P107" i="5"/>
  <c r="K107" i="5"/>
  <c r="P101" i="5"/>
  <c r="J101" i="5"/>
  <c r="P224" i="5"/>
  <c r="J224" i="5"/>
  <c r="AC34" i="5"/>
  <c r="P218" i="5"/>
  <c r="J160" i="5"/>
  <c r="K211" i="5"/>
  <c r="K60" i="5"/>
  <c r="J13" i="5"/>
  <c r="J102" i="5"/>
  <c r="J149" i="5"/>
  <c r="J218" i="5"/>
  <c r="K175" i="5"/>
  <c r="K208" i="5"/>
  <c r="P17" i="5"/>
  <c r="K17" i="5"/>
  <c r="P21" i="5"/>
  <c r="P29" i="5"/>
  <c r="J29" i="5"/>
  <c r="J70" i="5"/>
  <c r="J82" i="5"/>
  <c r="P82" i="5"/>
  <c r="K102" i="5"/>
  <c r="P110" i="5"/>
  <c r="J118" i="5"/>
  <c r="P118" i="5"/>
  <c r="K158" i="5"/>
  <c r="K162" i="5"/>
  <c r="P172" i="5"/>
  <c r="P196" i="5"/>
  <c r="J215" i="5"/>
  <c r="K218" i="5"/>
  <c r="P4" i="5"/>
  <c r="P8" i="5"/>
  <c r="J8" i="5"/>
  <c r="K94" i="5"/>
  <c r="J189" i="5"/>
  <c r="P189" i="5"/>
  <c r="AB34" i="5"/>
  <c r="AC36" i="5"/>
  <c r="P195" i="5"/>
  <c r="P179" i="5"/>
  <c r="P175" i="5"/>
  <c r="P158" i="5"/>
  <c r="P139" i="5"/>
  <c r="P127" i="5"/>
  <c r="P122" i="5"/>
  <c r="P106" i="5"/>
  <c r="P71" i="5"/>
  <c r="P19" i="5"/>
  <c r="P12" i="5"/>
  <c r="P76" i="5"/>
  <c r="P128" i="5"/>
  <c r="J136" i="5"/>
  <c r="P136" i="5"/>
  <c r="J161" i="5"/>
  <c r="P161" i="5"/>
  <c r="P188" i="5"/>
  <c r="J212" i="5"/>
  <c r="P212" i="5"/>
  <c r="P217" i="5"/>
  <c r="J92" i="5"/>
  <c r="P92" i="5"/>
  <c r="P193" i="5"/>
  <c r="P171" i="5"/>
  <c r="P99" i="5"/>
  <c r="P22" i="5"/>
  <c r="P14" i="5"/>
  <c r="J58" i="5"/>
  <c r="J54" i="5"/>
  <c r="J46" i="5"/>
  <c r="P201" i="5"/>
  <c r="P185" i="5"/>
  <c r="P157" i="5"/>
  <c r="P153" i="5"/>
  <c r="P97" i="5"/>
  <c r="P49" i="5"/>
  <c r="P33" i="5"/>
  <c r="P25" i="5"/>
  <c r="P220" i="5"/>
  <c r="P56" i="5"/>
  <c r="P44" i="5"/>
  <c r="P28" i="5"/>
  <c r="J8" i="8"/>
  <c r="I10" i="8"/>
  <c r="L8" i="8"/>
  <c r="K7" i="8"/>
  <c r="K10" i="8" s="1"/>
  <c r="J6" i="8"/>
  <c r="J10" i="8"/>
  <c r="K11" i="6"/>
  <c r="J30" i="6"/>
  <c r="J27" i="6"/>
  <c r="J14" i="6"/>
  <c r="J18" i="6" s="1"/>
  <c r="J3" i="6"/>
  <c r="J17" i="6"/>
  <c r="K16" i="6"/>
  <c r="K18" i="6" s="1"/>
  <c r="J19" i="6"/>
  <c r="J15" i="6"/>
  <c r="J8" i="6"/>
  <c r="K31" i="6"/>
  <c r="K28" i="6"/>
  <c r="K9" i="6"/>
  <c r="I9" i="6"/>
  <c r="J5" i="6"/>
  <c r="J2" i="6"/>
  <c r="I34" i="6"/>
  <c r="J33" i="6"/>
  <c r="J9" i="6"/>
  <c r="J21" i="6"/>
  <c r="J3" i="10"/>
  <c r="J29" i="6"/>
  <c r="I18" i="6"/>
  <c r="I25" i="6"/>
  <c r="J34" i="6"/>
  <c r="K22" i="6"/>
  <c r="K25" i="6" s="1"/>
  <c r="K32" i="6"/>
  <c r="J20" i="6"/>
  <c r="J24" i="6"/>
  <c r="K2" i="10"/>
  <c r="K6" i="10" s="1"/>
  <c r="I6" i="7"/>
  <c r="J6" i="7"/>
  <c r="K4" i="7"/>
  <c r="K6" i="7" s="1"/>
  <c r="K3" i="5"/>
  <c r="J207" i="5"/>
  <c r="J125" i="5"/>
  <c r="J22" i="5"/>
  <c r="J4" i="5"/>
  <c r="K171" i="5"/>
  <c r="K14" i="5"/>
  <c r="K18" i="5"/>
  <c r="J21" i="5"/>
  <c r="K24" i="5"/>
  <c r="K56" i="5"/>
  <c r="K108" i="5"/>
  <c r="J110" i="5"/>
  <c r="K126" i="5"/>
  <c r="K137" i="5"/>
  <c r="K153" i="5"/>
  <c r="K188" i="5"/>
  <c r="K8" i="5"/>
  <c r="J94" i="5"/>
  <c r="J162" i="5"/>
  <c r="J201" i="5"/>
  <c r="K54" i="5"/>
  <c r="K11" i="5"/>
  <c r="K40" i="5"/>
  <c r="K72" i="5"/>
  <c r="J47" i="5"/>
  <c r="J105" i="5"/>
  <c r="J143" i="5"/>
  <c r="J175" i="5"/>
  <c r="K195" i="5"/>
  <c r="K222" i="5"/>
  <c r="J14" i="5"/>
  <c r="J25" i="5"/>
  <c r="J111" i="5"/>
  <c r="K139" i="5"/>
  <c r="J17" i="5"/>
  <c r="K22" i="5"/>
  <c r="J72" i="5"/>
  <c r="K82" i="5"/>
  <c r="K105" i="5"/>
  <c r="K109" i="5"/>
  <c r="K111" i="5"/>
  <c r="K125" i="5"/>
  <c r="J131" i="5"/>
  <c r="J139" i="5"/>
  <c r="K207" i="5"/>
  <c r="J185" i="5"/>
  <c r="K219" i="5"/>
  <c r="J195" i="5"/>
  <c r="J222" i="5"/>
  <c r="K85" i="5"/>
  <c r="J159" i="5"/>
  <c r="K73" i="5"/>
  <c r="K221" i="5"/>
  <c r="K41" i="5"/>
  <c r="J41" i="5"/>
  <c r="K43" i="5"/>
  <c r="J43" i="5"/>
  <c r="AB36" i="5"/>
  <c r="K193" i="5"/>
  <c r="J39" i="5"/>
  <c r="K39" i="5"/>
  <c r="J168" i="5"/>
  <c r="J172" i="5"/>
  <c r="Z40" i="5"/>
  <c r="K16" i="5"/>
  <c r="J75" i="5"/>
  <c r="J103" i="5"/>
  <c r="K142" i="5"/>
  <c r="K161" i="5"/>
  <c r="K168" i="5"/>
  <c r="K135" i="5"/>
  <c r="J57" i="5"/>
  <c r="K202" i="5"/>
  <c r="J9" i="5"/>
  <c r="K89" i="5"/>
  <c r="J151" i="5"/>
  <c r="K151" i="5"/>
  <c r="J79" i="5"/>
  <c r="K79" i="5"/>
  <c r="K223" i="5"/>
  <c r="J152" i="5"/>
  <c r="K152" i="5"/>
  <c r="K10" i="5"/>
  <c r="J10" i="5"/>
  <c r="J45" i="5"/>
  <c r="K45" i="5"/>
  <c r="J23" i="5"/>
  <c r="J63" i="5"/>
  <c r="K68" i="5"/>
  <c r="K118" i="5"/>
  <c r="J148" i="5"/>
  <c r="K92" i="5"/>
  <c r="K53" i="5"/>
  <c r="J53" i="5"/>
  <c r="K66" i="5"/>
  <c r="K23" i="5"/>
  <c r="K98" i="5"/>
  <c r="K136" i="5"/>
  <c r="K144" i="5"/>
  <c r="J144" i="5"/>
  <c r="J208" i="5"/>
  <c r="K182" i="5"/>
  <c r="J59" i="5"/>
  <c r="K55" i="5"/>
  <c r="AA37" i="5"/>
  <c r="AB37" i="5"/>
  <c r="K34" i="5"/>
  <c r="J197" i="5"/>
  <c r="K172" i="5"/>
  <c r="J66" i="5"/>
  <c r="J16" i="5"/>
  <c r="K131" i="5"/>
  <c r="K59" i="5"/>
  <c r="J85" i="5"/>
  <c r="J5" i="5"/>
  <c r="J62" i="5"/>
  <c r="J68" i="5"/>
  <c r="J71" i="5"/>
  <c r="J73" i="5"/>
  <c r="J98" i="5"/>
  <c r="K104" i="5"/>
  <c r="K106" i="5"/>
  <c r="K138" i="5"/>
  <c r="K159" i="5"/>
  <c r="J179" i="5"/>
  <c r="K197" i="5"/>
  <c r="K190" i="5"/>
  <c r="J7" i="5"/>
  <c r="J115" i="5"/>
  <c r="K189" i="5"/>
  <c r="K69" i="5"/>
  <c r="J193" i="5"/>
  <c r="K194" i="5"/>
  <c r="J88" i="5"/>
  <c r="K150" i="5"/>
  <c r="J221" i="5"/>
  <c r="K224" i="5"/>
  <c r="J80" i="5"/>
  <c r="J171" i="5"/>
  <c r="K198" i="5"/>
  <c r="J97" i="5"/>
  <c r="J178" i="5"/>
  <c r="K178" i="5"/>
  <c r="J219" i="5"/>
  <c r="J42" i="5"/>
  <c r="J3" i="5"/>
  <c r="K2" i="11"/>
  <c r="J2" i="11"/>
  <c r="K3" i="11"/>
  <c r="I6" i="11"/>
  <c r="K4" i="11"/>
  <c r="J4" i="11"/>
  <c r="K93" i="5"/>
  <c r="J93" i="5"/>
  <c r="J44" i="5"/>
  <c r="K44" i="5"/>
  <c r="K38" i="5"/>
  <c r="J38" i="5"/>
  <c r="J6" i="10"/>
  <c r="J33" i="5"/>
  <c r="J81" i="5"/>
  <c r="K81" i="5"/>
  <c r="K28" i="5"/>
  <c r="J28" i="5"/>
  <c r="J52" i="5"/>
  <c r="AB44" i="5"/>
  <c r="AA44" i="5"/>
  <c r="AB45" i="5"/>
  <c r="AA45" i="5"/>
  <c r="AA40" i="5" l="1"/>
  <c r="K34" i="6"/>
  <c r="J25" i="6"/>
  <c r="AB40" i="5"/>
  <c r="J6" i="11"/>
  <c r="K6" i="11"/>
</calcChain>
</file>

<file path=xl/sharedStrings.xml><?xml version="1.0" encoding="utf-8"?>
<sst xmlns="http://schemas.openxmlformats.org/spreadsheetml/2006/main" count="1505" uniqueCount="573">
  <si>
    <t>TABELA - ESFIHA</t>
  </si>
  <si>
    <t>DESCRIÇÃO</t>
  </si>
  <si>
    <t>PESO</t>
  </si>
  <si>
    <t>COMP</t>
  </si>
  <si>
    <t>LARG</t>
  </si>
  <si>
    <t>ALTURA</t>
  </si>
  <si>
    <t>QTDD</t>
  </si>
  <si>
    <t>MOD</t>
  </si>
  <si>
    <t>UND</t>
  </si>
  <si>
    <t xml:space="preserve">VOLUME </t>
  </si>
  <si>
    <t>TOTAL PESO</t>
  </si>
  <si>
    <t>CUB</t>
  </si>
  <si>
    <t>11X22X3</t>
  </si>
  <si>
    <t>10,08 M³</t>
  </si>
  <si>
    <t>14 X 25 X 5</t>
  </si>
  <si>
    <t>11,88 M³</t>
  </si>
  <si>
    <t>(MINI) 14 X 19 X 5</t>
  </si>
  <si>
    <t>(P) 20 X 20 X 5,5</t>
  </si>
  <si>
    <t>21x24x4</t>
  </si>
  <si>
    <t>22x25x6</t>
  </si>
  <si>
    <t>25X25X6</t>
  </si>
  <si>
    <t>DV DECK RIO</t>
  </si>
  <si>
    <t>(M) 25 X 25 X 5,5</t>
  </si>
  <si>
    <t>25x30x6</t>
  </si>
  <si>
    <t>(G) 30 X 30 X 5,5</t>
  </si>
  <si>
    <t>(07) 31 X 32 X 6</t>
  </si>
  <si>
    <t xml:space="preserve">(35) 35 X 35 X 7 </t>
  </si>
  <si>
    <t>2 PÇA</t>
  </si>
  <si>
    <t>(35) 35 X 35 X 6</t>
  </si>
  <si>
    <t>1 PÇA</t>
  </si>
  <si>
    <t>40x30x7</t>
  </si>
  <si>
    <t>40x40x5</t>
  </si>
  <si>
    <t>(06) 33,5 X 17 X 6</t>
  </si>
  <si>
    <t>17 X 17 X 3</t>
  </si>
  <si>
    <t>15 X 30 X 3</t>
  </si>
  <si>
    <t>32 X 33 X 3,5</t>
  </si>
  <si>
    <t>(07) 33 X 33 X 6</t>
  </si>
  <si>
    <t>38X39X5</t>
  </si>
  <si>
    <t>15 X 15X 3</t>
  </si>
  <si>
    <t xml:space="preserve">  </t>
  </si>
  <si>
    <t>25 x 8 x 4</t>
  </si>
  <si>
    <t>(37,5 X 37,5 X 4,9)</t>
  </si>
  <si>
    <t>tampa e fundo ( 2 peças ) - (OFFSET)</t>
  </si>
  <si>
    <t>TABELA - PIZZA - ( FLEXO )</t>
  </si>
  <si>
    <t>ALT</t>
  </si>
  <si>
    <t>QTD</t>
  </si>
  <si>
    <t>(20) 20X20X3,7</t>
  </si>
  <si>
    <t>UN</t>
  </si>
  <si>
    <t>VOL</t>
  </si>
  <si>
    <t>(20) 20 X 20 X 3,7</t>
  </si>
  <si>
    <t xml:space="preserve">(25) 25 X 25 X 3,7 </t>
  </si>
  <si>
    <t>20x20x4</t>
  </si>
  <si>
    <t>oper</t>
  </si>
  <si>
    <t>(25) 25 X 25 X 3,7</t>
  </si>
  <si>
    <t xml:space="preserve">(30) 30 X 30 X 3,7 </t>
  </si>
  <si>
    <t>(35) 35 X 35 X 3,7</t>
  </si>
  <si>
    <t>27X52X4</t>
  </si>
  <si>
    <t>1 pca</t>
  </si>
  <si>
    <t>27x27x4</t>
  </si>
  <si>
    <t>(40) 40 X 40 X 3,7</t>
  </si>
  <si>
    <t>(30) 30 X 30 X 3,7</t>
  </si>
  <si>
    <t>TOTAL</t>
  </si>
  <si>
    <t>(31) 31X31X4</t>
  </si>
  <si>
    <t>(32) 32 X 32 X 3,7</t>
  </si>
  <si>
    <t>CX. P/ PIZZA C/ GRELHA</t>
  </si>
  <si>
    <t>1 pça</t>
  </si>
  <si>
    <t>(45) 45 X 45 X 3,7</t>
  </si>
  <si>
    <t>29X29X2</t>
  </si>
  <si>
    <t>36X36X4</t>
  </si>
  <si>
    <t>36x18,5x3,5</t>
  </si>
  <si>
    <t>35X100X5</t>
  </si>
  <si>
    <t xml:space="preserve">w </t>
  </si>
  <si>
    <t>35 X 70 X 4 (pizza metro)</t>
  </si>
  <si>
    <t>18,5 X 19 X 4</t>
  </si>
  <si>
    <t>25 X 30 X 4,5</t>
  </si>
  <si>
    <t>(50) 50X50X4</t>
  </si>
  <si>
    <t>60x60x3,7</t>
  </si>
  <si>
    <t>25X50X4</t>
  </si>
  <si>
    <t>30 X 23 X 5</t>
  </si>
  <si>
    <t>30 X 50 X 4</t>
  </si>
  <si>
    <t>(80) 80 X 80 X 4</t>
  </si>
  <si>
    <t>FUND 45X45X2</t>
  </si>
  <si>
    <t>43,5 X 44 X 10</t>
  </si>
  <si>
    <t>TABELA - PIZZA OFF SET</t>
  </si>
  <si>
    <t>MEDIDAS</t>
  </si>
  <si>
    <t>20X20X3,7</t>
  </si>
  <si>
    <t>30X30X3,7</t>
  </si>
  <si>
    <t>Amer 1</t>
  </si>
  <si>
    <t>50x50x3,7</t>
  </si>
  <si>
    <t>15X15X3</t>
  </si>
  <si>
    <t>17X17X4</t>
  </si>
  <si>
    <t>18,8X19X4</t>
  </si>
  <si>
    <t>42 X42X4</t>
  </si>
  <si>
    <t>35X35X3,7</t>
  </si>
  <si>
    <t>25X25X4</t>
  </si>
  <si>
    <t>40X40X3,7</t>
  </si>
  <si>
    <t>45X45X3,7</t>
  </si>
  <si>
    <t>REDONDA</t>
  </si>
  <si>
    <t>25X25X3,7</t>
  </si>
  <si>
    <t>30x30x3,7</t>
  </si>
  <si>
    <t>35CM</t>
  </si>
  <si>
    <t>CAIXA ENVELOP</t>
  </si>
  <si>
    <t>(37,5 X37,5 X4,9)</t>
  </si>
  <si>
    <t>35 RED</t>
  </si>
  <si>
    <t>33x35x3,7</t>
  </si>
  <si>
    <t>41,5X45,5X0,5</t>
  </si>
  <si>
    <t>42X45</t>
  </si>
  <si>
    <t>CX DE DOCE  RET</t>
  </si>
  <si>
    <t>21x21x8</t>
  </si>
  <si>
    <t>20 X 20 X 8</t>
  </si>
  <si>
    <t>22X14,5X3,7</t>
  </si>
  <si>
    <t>TABELA - BOLO</t>
  </si>
  <si>
    <t>(34) 35 X 35 X 13</t>
  </si>
  <si>
    <t>30x30x12</t>
  </si>
  <si>
    <t>(31) 31 X 31 X 13</t>
  </si>
  <si>
    <t>(40) 40 X 40 X 12</t>
  </si>
  <si>
    <t>BL EST. 25 X 25 X 13</t>
  </si>
  <si>
    <t>(28) 28 X 28 X 12</t>
  </si>
  <si>
    <t>(37) 37 x 45 x 12</t>
  </si>
  <si>
    <t>(25) 25X25X13</t>
  </si>
  <si>
    <t>(25) 25 X 26 X 12</t>
  </si>
  <si>
    <t>(30) 31,5 X 33 X 12</t>
  </si>
  <si>
    <t>(33) 33 X 40 X 12</t>
  </si>
  <si>
    <t>27X27X14</t>
  </si>
  <si>
    <t>34X34X13</t>
  </si>
  <si>
    <t>34 X 34 X 12</t>
  </si>
  <si>
    <t>44X53X12</t>
  </si>
  <si>
    <t>(44) 43 X 52 X 12</t>
  </si>
  <si>
    <t>TABELA - CALZONE</t>
  </si>
  <si>
    <t>36x20x6</t>
  </si>
  <si>
    <t>CAIXA DE CREPE</t>
  </si>
  <si>
    <t>14X27X3,5</t>
  </si>
  <si>
    <t>TABELA - PÃO DE METRO</t>
  </si>
  <si>
    <t>100x12x10</t>
  </si>
  <si>
    <t>80 X 12 X 18</t>
  </si>
  <si>
    <t>TABELA - MALETA</t>
  </si>
  <si>
    <t>21X20X15</t>
  </si>
  <si>
    <t>25x20x15</t>
  </si>
  <si>
    <t>30X20X20</t>
  </si>
  <si>
    <t>40 X 31 X 22</t>
  </si>
  <si>
    <t>CX SALGADO</t>
  </si>
  <si>
    <t>23X28X7</t>
  </si>
  <si>
    <t>7X7X15</t>
  </si>
  <si>
    <t xml:space="preserve">SMART PORÇÃO </t>
  </si>
  <si>
    <t>14x14x5,5</t>
  </si>
  <si>
    <t>14X14X10</t>
  </si>
  <si>
    <t>13,5X24X7</t>
  </si>
  <si>
    <t>DIPS</t>
  </si>
  <si>
    <t>16,5x12x6,5</t>
  </si>
  <si>
    <t>apice 1p</t>
  </si>
  <si>
    <t>17X17X13</t>
  </si>
  <si>
    <t>TABELA - DISCO DE PIZZA</t>
  </si>
  <si>
    <t>25 X 25</t>
  </si>
  <si>
    <t>30 X 30</t>
  </si>
  <si>
    <t xml:space="preserve">35 X 35 </t>
  </si>
  <si>
    <t>40 X 40</t>
  </si>
  <si>
    <t>TABELA - FATIA DE PIZZA</t>
  </si>
  <si>
    <t>12X12X1</t>
  </si>
  <si>
    <t>19,5x21,5x3</t>
  </si>
  <si>
    <t>26X31X4</t>
  </si>
  <si>
    <t>28x40x4</t>
  </si>
  <si>
    <t>25x21x4</t>
  </si>
  <si>
    <t>10 X 22 X 1</t>
  </si>
  <si>
    <t>18,5X24X5</t>
  </si>
  <si>
    <t>18,5X29X5</t>
  </si>
  <si>
    <t>40x40x7</t>
  </si>
  <si>
    <t>40 X 23 X 8,5</t>
  </si>
  <si>
    <t>19X28</t>
  </si>
  <si>
    <t>TABELA- DIVIS. TIRAS</t>
  </si>
  <si>
    <t>PARADINHA</t>
  </si>
  <si>
    <t>37X5X0</t>
  </si>
  <si>
    <t>30 X 4</t>
  </si>
  <si>
    <t>20x26x7</t>
  </si>
  <si>
    <t>TABELA - LANCHE</t>
  </si>
  <si>
    <t>13X13X8</t>
  </si>
  <si>
    <t>16,5 X 12 X 6,5</t>
  </si>
  <si>
    <t>TABELA - FRANGO</t>
  </si>
  <si>
    <t>19 X 15 X 11</t>
  </si>
  <si>
    <t>EMPADA E BERÇO</t>
  </si>
  <si>
    <t>27X17X5</t>
  </si>
  <si>
    <t>33X30X4</t>
  </si>
  <si>
    <t>MALETA DE FEIJOADA PADRÃO</t>
  </si>
  <si>
    <t>40X20X18</t>
  </si>
  <si>
    <t>CX DE PASTEL</t>
  </si>
  <si>
    <t>25X13X0,03</t>
  </si>
  <si>
    <t>SHOPPING DAS PIZZAS</t>
  </si>
  <si>
    <t>CX ESPATUL</t>
  </si>
  <si>
    <t xml:space="preserve">VINHO </t>
  </si>
  <si>
    <t>CX DE  PRATO</t>
  </si>
  <si>
    <t>DISCO FACE</t>
  </si>
  <si>
    <t>DISCO (25X25X0)</t>
  </si>
  <si>
    <t xml:space="preserve">                             </t>
  </si>
  <si>
    <t>DISCO (30X30X0)</t>
  </si>
  <si>
    <t>DISCO (35X35X0)</t>
  </si>
  <si>
    <t xml:space="preserve">DISCO ( 40X40X1) </t>
  </si>
  <si>
    <t>DISCO ( 29X29X1)</t>
  </si>
  <si>
    <t>ONDA  B</t>
  </si>
  <si>
    <t>DISCO (29X29X1)</t>
  </si>
  <si>
    <t>ROLO LACRE</t>
  </si>
  <si>
    <t>1 ROLO</t>
  </si>
  <si>
    <t>PCTE C/ 10 ROLOS</t>
  </si>
  <si>
    <t>PIZZA &amp; DOG  ESP 2 PÇS</t>
  </si>
  <si>
    <t>FUN 35X35X2</t>
  </si>
  <si>
    <t>TAMP 35X35X2</t>
  </si>
  <si>
    <t>FUN  29x29x3</t>
  </si>
  <si>
    <t>FUN 20X20X1</t>
  </si>
  <si>
    <t>PIZZA DO RÃO Off</t>
  </si>
  <si>
    <t>25x50x3,7</t>
  </si>
  <si>
    <t xml:space="preserve">RÃO FLEXO </t>
  </si>
  <si>
    <t>33X35,5X0,5</t>
  </si>
  <si>
    <t>38X43X5</t>
  </si>
  <si>
    <t>18,5X19,5X3,5</t>
  </si>
  <si>
    <t>18,5X37X3,6</t>
  </si>
  <si>
    <t>18,5X37X3,7</t>
  </si>
  <si>
    <t>18,5X37X3,8</t>
  </si>
  <si>
    <t>QTD PCT</t>
  </si>
  <si>
    <t>MOD.</t>
  </si>
  <si>
    <t>UND.</t>
  </si>
  <si>
    <t>1PÇA</t>
  </si>
  <si>
    <t>(P) 13 X 25 X 5</t>
  </si>
  <si>
    <t>(M) 25 X 25 X 5</t>
  </si>
  <si>
    <t>(G) 35 X 25 X 5</t>
  </si>
  <si>
    <t>calculo  m³</t>
  </si>
  <si>
    <t xml:space="preserve">peso </t>
  </si>
  <si>
    <t>25X12,5</t>
  </si>
  <si>
    <t>FATIA BL</t>
  </si>
  <si>
    <t>25X12,5X4</t>
  </si>
  <si>
    <t>CX FATIA</t>
  </si>
  <si>
    <t>NAJAH RÃO FLEXO</t>
  </si>
  <si>
    <t>ESF 11X11X3</t>
  </si>
  <si>
    <t>P /01 1PC</t>
  </si>
  <si>
    <t>ESF 11X22X3</t>
  </si>
  <si>
    <t>P/02 1PC</t>
  </si>
  <si>
    <t>ESF 22X22X3</t>
  </si>
  <si>
    <t>P/04 1PC</t>
  </si>
  <si>
    <t>ESF 22X20X6</t>
  </si>
  <si>
    <t>M 1PC</t>
  </si>
  <si>
    <t>ESF 30X25X6</t>
  </si>
  <si>
    <t>G 1PC</t>
  </si>
  <si>
    <t>ESF 50,5X22X3</t>
  </si>
  <si>
    <t>ESF 50,5X26X6</t>
  </si>
  <si>
    <t>FORNERIA</t>
  </si>
  <si>
    <t>CXLAN 20X12X8</t>
  </si>
  <si>
    <t>20 X 20 X 3,7</t>
  </si>
  <si>
    <t>CXPOR 6X7,5X8</t>
  </si>
  <si>
    <t>CONJ 1</t>
  </si>
  <si>
    <t>45x85</t>
  </si>
  <si>
    <t>40x40x3,7</t>
  </si>
  <si>
    <t>Á MEGA PIZZA - FOZ</t>
  </si>
  <si>
    <t>(P) 67 X 70 X 5,5</t>
  </si>
  <si>
    <t>(P) 25 X 34 X 6</t>
  </si>
  <si>
    <t>TOTAL DE VOLUMES POR PEDIDO = 400 VOLUMES</t>
  </si>
  <si>
    <t>PESO TOTAL POR PEDIDO = + OU - 2960Kg</t>
  </si>
  <si>
    <t>CUBAGEM TOTAL POR PEDIDO = + OU - 27,29 m³</t>
  </si>
  <si>
    <t>VALOR DA NF DE CADA PEDIDO = + OU - R$ 13.928,00</t>
  </si>
  <si>
    <t>RANCHO PORTUGUES</t>
  </si>
  <si>
    <t>ESFIHARIA GRILL</t>
  </si>
  <si>
    <t>14X19</t>
  </si>
  <si>
    <t>COCO BAMBU - 27 3141-9100</t>
  </si>
  <si>
    <t>MAMMAS</t>
  </si>
  <si>
    <t>35X35 OIT</t>
  </si>
  <si>
    <t>13X13</t>
  </si>
  <si>
    <t>VOL: 44</t>
  </si>
  <si>
    <t xml:space="preserve">VOL: 11 </t>
  </si>
  <si>
    <t>QTD: 1100</t>
  </si>
  <si>
    <t xml:space="preserve">PIZZA BUS </t>
  </si>
  <si>
    <t>FATIA</t>
  </si>
  <si>
    <t>35X70</t>
  </si>
  <si>
    <t>VOL: 20</t>
  </si>
  <si>
    <t>VOL: 3</t>
  </si>
  <si>
    <t>QTD: 1042</t>
  </si>
  <si>
    <t>QTD: 75</t>
  </si>
  <si>
    <t>430 GRADI</t>
  </si>
  <si>
    <t>DEL MONDO</t>
  </si>
  <si>
    <t>15X15</t>
  </si>
  <si>
    <t>30X30 OIT</t>
  </si>
  <si>
    <t>VOL: 38</t>
  </si>
  <si>
    <t>VOL: 14</t>
  </si>
  <si>
    <t>QTD: 3800</t>
  </si>
  <si>
    <t>QTD: 350</t>
  </si>
  <si>
    <t xml:space="preserve">430 GRADI </t>
  </si>
  <si>
    <t>MIK ESFIHA</t>
  </si>
  <si>
    <t>28X28</t>
  </si>
  <si>
    <t>VOL: 40</t>
  </si>
  <si>
    <t>VOL: 22</t>
  </si>
  <si>
    <t>QTD: 2000</t>
  </si>
  <si>
    <t>m3</t>
  </si>
  <si>
    <t>m3/un</t>
  </si>
  <si>
    <t>pesotot</t>
  </si>
  <si>
    <t>tot_embal</t>
  </si>
  <si>
    <t>vol_unit_embal</t>
  </si>
  <si>
    <t>volume_tot</t>
  </si>
  <si>
    <t>peso_tot</t>
  </si>
  <si>
    <t>cubagem</t>
  </si>
  <si>
    <t>produto</t>
  </si>
  <si>
    <t>descricao</t>
  </si>
  <si>
    <t>peso_pacote</t>
  </si>
  <si>
    <t>comprimento</t>
  </si>
  <si>
    <t>largura</t>
  </si>
  <si>
    <t>qt_pacote</t>
  </si>
  <si>
    <t>altura</t>
  </si>
  <si>
    <t>esfiha</t>
  </si>
  <si>
    <t>pizza_offset</t>
  </si>
  <si>
    <t>pizza_flexo</t>
  </si>
  <si>
    <t>redonda</t>
  </si>
  <si>
    <t>caixa_envelope</t>
  </si>
  <si>
    <t>caixa_doce_retangular</t>
  </si>
  <si>
    <t>bolo</t>
  </si>
  <si>
    <t>calzone</t>
  </si>
  <si>
    <t>caixa_crepe</t>
  </si>
  <si>
    <t>pao_de_metro</t>
  </si>
  <si>
    <t>maleta</t>
  </si>
  <si>
    <t>caixa_salgado</t>
  </si>
  <si>
    <t>smart_porcao</t>
  </si>
  <si>
    <t>disco_pizza</t>
  </si>
  <si>
    <t>fatia_pizza</t>
  </si>
  <si>
    <t>sem_nome</t>
  </si>
  <si>
    <t>divisao_tiras</t>
  </si>
  <si>
    <t>lanche</t>
  </si>
  <si>
    <t>frango</t>
  </si>
  <si>
    <t>empada_berco</t>
  </si>
  <si>
    <t>maleta_feijoada</t>
  </si>
  <si>
    <t>caixa_de_pastel</t>
  </si>
  <si>
    <t>shopping_pizzas</t>
  </si>
  <si>
    <t>disco_face</t>
  </si>
  <si>
    <t>rolo_lacre</t>
  </si>
  <si>
    <t>PIZZA_DOG _ESP_ 2_ Pcs</t>
  </si>
  <si>
    <t>pizza_rao_off</t>
  </si>
  <si>
    <t>rao_flexo</t>
  </si>
  <si>
    <t>tampa_fundo_2_pc_offset</t>
  </si>
  <si>
    <t>caixa_pizza_grelha</t>
  </si>
  <si>
    <t>forneria_original</t>
  </si>
  <si>
    <t>suburbanos</t>
  </si>
  <si>
    <t>hashtag</t>
  </si>
  <si>
    <t>forneria</t>
  </si>
  <si>
    <t>descricao?</t>
  </si>
  <si>
    <t>najah-rao_flexo</t>
  </si>
  <si>
    <t>mega_pizza_foz</t>
  </si>
  <si>
    <t>_MINI_ 14 X 19 X 5</t>
  </si>
  <si>
    <t>_P_ 20 X 20 X 5,5</t>
  </si>
  <si>
    <t>_M_ 25 X 25 X 5,5</t>
  </si>
  <si>
    <t>_G_ 30 X 30 X 5,5</t>
  </si>
  <si>
    <t>_07_ 31 X 32 X 6</t>
  </si>
  <si>
    <t xml:space="preserve">_35_ 35 X 35 X 7 </t>
  </si>
  <si>
    <t>_35_ 35 X 35 X 6</t>
  </si>
  <si>
    <t>_06_ 33,5 X 17 X 6</t>
  </si>
  <si>
    <t>_07_ 33 X 33 X 6</t>
  </si>
  <si>
    <t>_37,5 X 37,5 X 4,9_</t>
  </si>
  <si>
    <t>_20_ 20X20X3,7</t>
  </si>
  <si>
    <t>_20_ 20 X 20 X 3,7</t>
  </si>
  <si>
    <t>_25_ 25 X 25 X 3,7</t>
  </si>
  <si>
    <t>_30_ 30 X 30 X 3,7</t>
  </si>
  <si>
    <t>_31_ 31X31X4</t>
  </si>
  <si>
    <t>_32_ 32 X 32 X 3,7</t>
  </si>
  <si>
    <t>_35_ 35 X 35 X 3,7</t>
  </si>
  <si>
    <t>_40_ 40 X 40 X 3,7</t>
  </si>
  <si>
    <t>_45_ 45 X 45 X 3,7</t>
  </si>
  <si>
    <t>35 X 70 X 4 _pizza metro_</t>
  </si>
  <si>
    <t>_50_ 50X50X4</t>
  </si>
  <si>
    <t>_80_ 80 X 80 X 4</t>
  </si>
  <si>
    <t>_37,5 X37,5 X4,9_</t>
  </si>
  <si>
    <t>_34_ 35 X 35 X 13</t>
  </si>
  <si>
    <t>_31_ 31 X 31 X 13</t>
  </si>
  <si>
    <t>_40_ 40 X 40 X 12</t>
  </si>
  <si>
    <t>_28_ 28 X 28 X 12</t>
  </si>
  <si>
    <t>_37_ 37 x 45 x 12</t>
  </si>
  <si>
    <t>_25_ 25X25X13</t>
  </si>
  <si>
    <t>_25_ 25 X 26 X 12</t>
  </si>
  <si>
    <t>_30_ 31,5 X 33 X 12</t>
  </si>
  <si>
    <t>_33_ 33 X 40 X 12</t>
  </si>
  <si>
    <t>_44_ 43 X 52 X 12</t>
  </si>
  <si>
    <t>DISCO _25X25X0_</t>
  </si>
  <si>
    <t>DISCO _30X30X0_</t>
  </si>
  <si>
    <t>DISCO _35X35X0_</t>
  </si>
  <si>
    <t xml:space="preserve">DISCO _ 40X40X1_ </t>
  </si>
  <si>
    <t>DISCO _ 29X29X1_</t>
  </si>
  <si>
    <t>DISCO _29X29X1_</t>
  </si>
  <si>
    <t>_P_ 67 X 70 X 5,5</t>
  </si>
  <si>
    <t>_P_ 25 X 34 X 6</t>
  </si>
  <si>
    <t xml:space="preserve">_25_ 25 X 25 X 3,7 </t>
  </si>
  <si>
    <t xml:space="preserve">_30_ 30 X 30 X 3,7 </t>
  </si>
  <si>
    <t>_P_ 13 X 25 X 5</t>
  </si>
  <si>
    <t>_M_ 25 X 25 X 5</t>
  </si>
  <si>
    <t>_G_ 35 X 25 X 5</t>
  </si>
  <si>
    <t>0,29 x 0,37 x 0,18</t>
  </si>
  <si>
    <t>0,35 x 0,46 x 0,17</t>
  </si>
  <si>
    <t>0,44 x 0,45 x 0,14</t>
  </si>
  <si>
    <t>0,64 x 0,32 x 0,19</t>
  </si>
  <si>
    <t>0,53 x 0,38 x 0,15</t>
  </si>
  <si>
    <t>0,87 x 0,39 x 0,14</t>
  </si>
  <si>
    <t>0,72 x 0,36 x 0,14</t>
  </si>
  <si>
    <t>0,74 x 0,49 x 0,15</t>
  </si>
  <si>
    <t>0,72 x 0,38 x 0,14</t>
  </si>
  <si>
    <t>0,73 x 0,44 x 0,14</t>
  </si>
  <si>
    <t>0,82 x 0,42 x 0,14</t>
  </si>
  <si>
    <t>0,86 x 0,47 x 0,14</t>
  </si>
  <si>
    <t>0,88 x 0,56 x 0,13</t>
  </si>
  <si>
    <t>0,49 x 0,24 x 0,18</t>
  </si>
  <si>
    <t>0,43 x 0,48 x 0,19</t>
  </si>
  <si>
    <t>0,43 x 0,82 x 0,07</t>
  </si>
  <si>
    <t>0,98 x 0,49 x 0,14</t>
  </si>
  <si>
    <t>0,43 x 0,42 x 0,12</t>
  </si>
  <si>
    <t>0,26 x 0,16 x 0,14</t>
  </si>
  <si>
    <t>0,43 x 0,52 x 0,17</t>
  </si>
  <si>
    <t>0,31 x 0,31 x 0,16</t>
  </si>
  <si>
    <t>0,33 x 0,63 x 0,17</t>
  </si>
  <si>
    <t>0,34 x 0,34 x 0,14</t>
  </si>
  <si>
    <t>0,38 x 0,38 x 0,14</t>
  </si>
  <si>
    <t>0,61 x 0,73 x 0,17</t>
  </si>
  <si>
    <t>0,36 x 0,72 x 0,17</t>
  </si>
  <si>
    <t>0,39 x 0,39 x 0,14</t>
  </si>
  <si>
    <t>0,8 x 0,4 x 0,15</t>
  </si>
  <si>
    <t>0,42 x 0,82 x 0,15</t>
  </si>
  <si>
    <t>0,86 x 0,42 x 0,15</t>
  </si>
  <si>
    <t>0,44 x 0,44 x 0,13</t>
  </si>
  <si>
    <t>0,92 x 0,48 x 0,15</t>
  </si>
  <si>
    <t>0,49 x 0,49 x 0,15</t>
  </si>
  <si>
    <t>0,54 x 1,08 x 0,15</t>
  </si>
  <si>
    <t>0,59 x 0,59 x 0,15</t>
  </si>
  <si>
    <t>0,4 x 0,4 x 0,16</t>
  </si>
  <si>
    <t>0,9 x 0,46 x 0,15</t>
  </si>
  <si>
    <t>0,44 x 0,48 x 0,18</t>
  </si>
  <si>
    <t>w  x 1,11 x 0,07</t>
  </si>
  <si>
    <t>0,82 x 0,87 x 0,07</t>
  </si>
  <si>
    <t>0,19 x 0,19 x 0,4</t>
  </si>
  <si>
    <t>0,69 x 0,39 x 0,19</t>
  </si>
  <si>
    <t>0,6 x 0,6 x 0,14</t>
  </si>
  <si>
    <t>0,69 x 0,69 x 0,15</t>
  </si>
  <si>
    <t>0,34 x 0,77 x 0,17</t>
  </si>
  <si>
    <t>0,62 x 0,55 x 0,17</t>
  </si>
  <si>
    <t>0,6 x 0,77 x 0,17</t>
  </si>
  <si>
    <t>0,91 x 0,91 x 0,1</t>
  </si>
  <si>
    <t>0,55 x 0,55 x 0,09</t>
  </si>
  <si>
    <t>0,42 x 0,42 x 0,14</t>
  </si>
  <si>
    <t>0,33 x 0,6 x 0,17</t>
  </si>
  <si>
    <t>0,71 x 0,38 x 0,15</t>
  </si>
  <si>
    <t>1,13 x 0,59 x 0,17</t>
  </si>
  <si>
    <t>0,51 x 0,27 x 0,18</t>
  </si>
  <si>
    <t>0,49 x 0,25 x 0,17</t>
  </si>
  <si>
    <t>0,51 x 0,27 x 0,16</t>
  </si>
  <si>
    <t>0,95 x 0,5 x 0,17</t>
  </si>
  <si>
    <t>0,83 x 0,44 x 0,15</t>
  </si>
  <si>
    <t>0,62 x 0,33 x 0,19</t>
  </si>
  <si>
    <t>0,93 x 0,47 x 0,15</t>
  </si>
  <si>
    <t>0,52 x 0,27 x 0,19</t>
  </si>
  <si>
    <t>0,62 x 0,31 x 0,19</t>
  </si>
  <si>
    <t>0,74 x 0,36 x 0,23</t>
  </si>
  <si>
    <t>0,84 x 0,41 x 0,23</t>
  </si>
  <si>
    <t>0,42 x 0,52 x 0,14</t>
  </si>
  <si>
    <t>0,41 x 0,41 x 0,05</t>
  </si>
  <si>
    <t>0,34 x 0,37 x 0,05</t>
  </si>
  <si>
    <t>0,42 x 0,46 x 0,05</t>
  </si>
  <si>
    <t>0,5 x 0,43 x 0,04</t>
  </si>
  <si>
    <t>0,45 x 0,3 x 0,16</t>
  </si>
  <si>
    <t>0,64 x 0,25 x 0,06</t>
  </si>
  <si>
    <t>0,32 x 0,46 x 0,17</t>
  </si>
  <si>
    <t>0,76 x 0,76 x 0,16</t>
  </si>
  <si>
    <t>0,69 x 0,69 x 0,07</t>
  </si>
  <si>
    <t>0,7 x 0,7 x 0,09</t>
  </si>
  <si>
    <t>1,22 x 0,67 x 0,14</t>
  </si>
  <si>
    <t>0,61 x 0,61 x 0,09</t>
  </si>
  <si>
    <t>1 x 0,54 x 0,12</t>
  </si>
  <si>
    <t>0,56 x 0,71 x 0,23</t>
  </si>
  <si>
    <t>0,55 x 0,6 x 0,09</t>
  </si>
  <si>
    <t>0,91 x 0,5 x 0,07</t>
  </si>
  <si>
    <t>1,03 x 0,57 x 0,07</t>
  </si>
  <si>
    <t>0,65 x 1,09 x 0,07</t>
  </si>
  <si>
    <t>0,6 x 0,6 x 0,09</t>
  </si>
  <si>
    <t>0 x 0 x 0</t>
  </si>
  <si>
    <t>1,04 x 0,57 x 0,08</t>
  </si>
  <si>
    <t>0,83 x 0,56 x 0,15</t>
  </si>
  <si>
    <t>1,28 x 0,77 x 0,07</t>
  </si>
  <si>
    <t>0,61 x 0,49 x 0,16</t>
  </si>
  <si>
    <t>0,41 x 0,34 x 0,17</t>
  </si>
  <si>
    <t>1,18 x 0,23 x 0,14</t>
  </si>
  <si>
    <t>0,21 x 0,2 x 0,13</t>
  </si>
  <si>
    <t>0,46 x 0,46 x 0,16</t>
  </si>
  <si>
    <t>0,5 x 0,51 x 0,16</t>
  </si>
  <si>
    <t>0,61 x 0,52 x 0,15</t>
  </si>
  <si>
    <t>0,72 x 0,44 x 0,15</t>
  </si>
  <si>
    <t>0,21 x 0,3 x 0,12</t>
  </si>
  <si>
    <t>0,29 x 0,29 x 0,15</t>
  </si>
  <si>
    <t>0,63 x 0,36 x 0,17</t>
  </si>
  <si>
    <t>0,49 x 0,55 x 0,16</t>
  </si>
  <si>
    <t>0,47 x 0,29 x 0,18</t>
  </si>
  <si>
    <t>0,49 x 0,49 x 0,18</t>
  </si>
  <si>
    <t>0,26 x 0,5 x 0,14</t>
  </si>
  <si>
    <t>0,31 x 0,6 x 0,14</t>
  </si>
  <si>
    <t>0,36 x 0,7 x 0,16</t>
  </si>
  <si>
    <t>0,41 x 0,8 x 0,16</t>
  </si>
  <si>
    <t>0,76 x 0,46 x 0,17</t>
  </si>
  <si>
    <t>0,27 x 0,59 x 0,15</t>
  </si>
  <si>
    <t>0,78 x 0,37 x 0,17</t>
  </si>
  <si>
    <t>0,97 x 0,38 x 0,13</t>
  </si>
  <si>
    <t>0,64 x 0,34 x 0,17</t>
  </si>
  <si>
    <t>0,41 x 0,9 x 0,16</t>
  </si>
  <si>
    <t>0,76 x 0,28 x 0,15</t>
  </si>
  <si>
    <t>0,83 x 0,28 x 0,15</t>
  </si>
  <si>
    <t>0,69 x 0,4 x 0,17</t>
  </si>
  <si>
    <t>0,77 x 0,59 x 0,1</t>
  </si>
  <si>
    <t>0,55 x 1,06 x 0,08</t>
  </si>
  <si>
    <t>0,58 x 0,77 x 0,2</t>
  </si>
  <si>
    <t>0,48 x 0,38 x 0,17</t>
  </si>
  <si>
    <t>0,9 x 0,47 x 0,16</t>
  </si>
  <si>
    <t>0,37 x 0,12 x 0,05</t>
  </si>
  <si>
    <t>0,83 x 0,37 x 0,16</t>
  </si>
  <si>
    <t>0,6 x 0,24 x 0,17</t>
  </si>
  <si>
    <t>0,55 x 0,3 x 0,15</t>
  </si>
  <si>
    <t>0,47 x 0,3 x 0,18</t>
  </si>
  <si>
    <t>0,19 x 0,15 x 0,11</t>
  </si>
  <si>
    <t>0,5 x 0,49 x 0,15</t>
  </si>
  <si>
    <t>0,43 x 0,31 x 0,15</t>
  </si>
  <si>
    <t>0,6 x 0,48 x 0,14</t>
  </si>
  <si>
    <t>0,32 x 0,29 x 0,15</t>
  </si>
  <si>
    <t>0,28 x 0,38 x 0,32</t>
  </si>
  <si>
    <t>0,3 x 0,3 x 0,23</t>
  </si>
  <si>
    <t>0,28 x 0,38 x 0,33</t>
  </si>
  <si>
    <t>0,5 x 0,26 x 0,14</t>
  </si>
  <si>
    <t>0,6 x 0,31 x 0,14</t>
  </si>
  <si>
    <t>0,7 x 0,36 x 0,16</t>
  </si>
  <si>
    <t>0,79 x 0,4 x 0,14</t>
  </si>
  <si>
    <t>0,63 x 0,3 x 0,14</t>
  </si>
  <si>
    <t>0,3 x 0,3 x 0,15</t>
  </si>
  <si>
    <t>12,5 x 12,5 x 11</t>
  </si>
  <si>
    <t>56 x 12 x 26</t>
  </si>
  <si>
    <t>0,45 x 0,45 x 0,15</t>
  </si>
  <si>
    <t>0,46 x 0,46 x 0,08</t>
  </si>
  <si>
    <t>0,58 x 0,6 x 0,15</t>
  </si>
  <si>
    <t>0,8 x 0,45 x 0,15</t>
  </si>
  <si>
    <t>0,67 x 0,35 x 0,1</t>
  </si>
  <si>
    <t>0,67 x 0,59 x 0,1</t>
  </si>
  <si>
    <t>0,57 x 0,45 x 0,17</t>
  </si>
  <si>
    <t>0,67 x 0,7 x 0,17</t>
  </si>
  <si>
    <t>0,56 x 0,65 x 0,17</t>
  </si>
  <si>
    <t>COMP x LARG x ALTURA</t>
  </si>
  <si>
    <t>0,35 x 0,69 x 0,14</t>
  </si>
  <si>
    <t>0,6 x 0,69 x 0,14</t>
  </si>
  <si>
    <t>0,33 x 0,36 x 0,07</t>
  </si>
  <si>
    <t>0,42 x 0,46 x 0,07</t>
  </si>
  <si>
    <t>0,6 x 0,43 x 0,05</t>
  </si>
  <si>
    <t>0,4 x 0,22 x 0,11</t>
  </si>
  <si>
    <t>0,38 x 0,22 x 0,08</t>
  </si>
  <si>
    <t>1,18 x 0,59 x 0,15</t>
  </si>
  <si>
    <t>0,34 x 0,12 x 0,08</t>
  </si>
  <si>
    <t>0,31 x 0,19 x 0,17</t>
  </si>
  <si>
    <t>0,43 x 0,35 x 0,17</t>
  </si>
  <si>
    <t>0,37 x 0,38 x 0,17</t>
  </si>
  <si>
    <t>0,37 x 0,3 x 0,18</t>
  </si>
  <si>
    <t>0,3 x 0,6 x 0,18</t>
  </si>
  <si>
    <t>0,37 x 0,65 x 0,15</t>
  </si>
  <si>
    <t>0,74 x 0,45 x 0,15</t>
  </si>
  <si>
    <t>0,76 x 0,69 x 0,15</t>
  </si>
  <si>
    <t>0,76 x 0,65 x 0,15</t>
  </si>
  <si>
    <t>0,24 x 0,16 x 0,16</t>
  </si>
  <si>
    <t>0,29 x 0,58 x 0,17</t>
  </si>
  <si>
    <t>0,62 x 0,32 x 0,09</t>
  </si>
  <si>
    <t>0,34 x 0,34 x 0,13</t>
  </si>
  <si>
    <t>0,82 x 0,43 x 0,09</t>
  </si>
  <si>
    <t>0,92 x 0,48 x 0,1</t>
  </si>
  <si>
    <t>0,47 x 0,47 x 0,15</t>
  </si>
  <si>
    <t>0,53 x 0,37 x 0,18</t>
  </si>
  <si>
    <t>0,72 x 0,38 x 0,24</t>
  </si>
  <si>
    <t>0,41 x 0,35 x 0,5</t>
  </si>
  <si>
    <t>0,65 x 0,35 x 0,5</t>
  </si>
  <si>
    <t>0,65 x 0,55 x 0,6</t>
  </si>
  <si>
    <t>0,50 x 0,50 x 0,20</t>
  </si>
  <si>
    <t>0,95 x 0,50 x 0,15</t>
  </si>
  <si>
    <t>0,55 x 0,55 x 0,20</t>
  </si>
  <si>
    <t>0,39 x 0,29 x 0,10</t>
  </si>
  <si>
    <t>0,80 x 0,40 x 0,15</t>
  </si>
  <si>
    <t>0,80 x 0,40 x  0,14</t>
  </si>
  <si>
    <t>_descricao_</t>
  </si>
  <si>
    <t>1,00 x 0,52 x 0,17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</si>
</sst>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&quot;R$ &quot;#,##0.00"/>
    <numFmt numFmtId="167" formatCode="0.0000000"/>
    <numFmt numFmtId="168" formatCode="_-* #,##0.000_-;\-* #,##0.000_-;_-* &quot;-&quot;??_-;_-@_-"/>
    <numFmt numFmtId="169" formatCode="_-* #,##0.0_-;\-* #,##0.0_-;_-* &quot;-&quot;??_-;_-@_-"/>
    <numFmt numFmtId="170" formatCode="0.000"/>
    <numFmt numFmtId="171" formatCode="#,##0.0000_ ;\-#,##0.0000\ "/>
    <numFmt numFmtId="172" formatCode="0.00\ &quot;m3&quot;"/>
    <numFmt numFmtId="173" formatCode="0.0000\ &quot;m3&quot;"/>
    <numFmt numFmtId="174" formatCode="0\ &quot;kg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  <font>
      <sz val="2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8.5"/>
      <color theme="1"/>
      <name val="Verdana"/>
      <family val="2"/>
    </font>
    <font>
      <sz val="10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sz val="8.5"/>
      <name val="Verdana"/>
      <family val="2"/>
    </font>
    <font>
      <b/>
      <sz val="11"/>
      <color theme="1" tint="4.9989318521683403E-2"/>
      <name val="Calibri"/>
      <family val="2"/>
      <scheme val="minor"/>
    </font>
    <font>
      <b/>
      <sz val="11"/>
      <name val="Cambria"/>
      <family val="1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626C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2">
    <xf numFmtId="0" fontId="0" fillId="0" borderId="0" xfId="0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0" applyNumberFormat="1"/>
    <xf numFmtId="2" fontId="0" fillId="0" borderId="0" xfId="0" applyNumberFormat="1"/>
    <xf numFmtId="0" fontId="5" fillId="0" borderId="0" xfId="0" applyFont="1" applyAlignment="1">
      <alignment horizontal="center"/>
    </xf>
    <xf numFmtId="0" fontId="0" fillId="0" borderId="5" xfId="0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2" fontId="2" fillId="6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6" borderId="1" xfId="0" applyFont="1" applyFill="1" applyBorder="1"/>
    <xf numFmtId="0" fontId="11" fillId="0" borderId="0" xfId="0" applyFont="1" applyAlignment="1">
      <alignment horizontal="right" vertical="center" wrapText="1" indent="1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1" fontId="0" fillId="0" borderId="0" xfId="0" applyNumberFormat="1"/>
    <xf numFmtId="0" fontId="2" fillId="8" borderId="1" xfId="0" applyFont="1" applyFill="1" applyBorder="1" applyAlignment="1">
      <alignment horizontal="center"/>
    </xf>
    <xf numFmtId="0" fontId="13" fillId="0" borderId="0" xfId="0" applyFont="1"/>
    <xf numFmtId="0" fontId="2" fillId="8" borderId="0" xfId="0" applyFont="1" applyFill="1" applyAlignment="1">
      <alignment horizontal="center"/>
    </xf>
    <xf numFmtId="164" fontId="2" fillId="0" borderId="0" xfId="1" applyNumberFormat="1" applyFont="1" applyAlignment="1">
      <alignment horizontal="right"/>
    </xf>
    <xf numFmtId="0" fontId="14" fillId="4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6" fontId="17" fillId="0" borderId="0" xfId="0" applyNumberFormat="1" applyFont="1"/>
    <xf numFmtId="2" fontId="6" fillId="0" borderId="0" xfId="0" applyNumberFormat="1" applyFont="1"/>
    <xf numFmtId="0" fontId="18" fillId="0" borderId="0" xfId="0" applyFont="1"/>
    <xf numFmtId="2" fontId="19" fillId="0" borderId="0" xfId="0" applyNumberFormat="1" applyFont="1" applyAlignment="1">
      <alignment horizontal="center"/>
    </xf>
    <xf numFmtId="166" fontId="19" fillId="0" borderId="0" xfId="0" applyNumberFormat="1" applyFont="1"/>
    <xf numFmtId="9" fontId="20" fillId="0" borderId="0" xfId="3" applyFont="1" applyFill="1" applyBorder="1" applyAlignment="1">
      <alignment horizontal="left"/>
    </xf>
    <xf numFmtId="0" fontId="21" fillId="0" borderId="0" xfId="0" applyFont="1"/>
    <xf numFmtId="0" fontId="11" fillId="0" borderId="0" xfId="0" applyFont="1" applyAlignment="1">
      <alignment horizontal="left" vertical="center" wrapText="1" indent="1"/>
    </xf>
    <xf numFmtId="0" fontId="2" fillId="9" borderId="1" xfId="0" applyFont="1" applyFill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0" fontId="22" fillId="0" borderId="0" xfId="0" applyFont="1" applyAlignment="1">
      <alignment horizontal="right" vertical="center" wrapText="1" indent="1"/>
    </xf>
    <xf numFmtId="167" fontId="3" fillId="0" borderId="0" xfId="0" applyNumberFormat="1" applyFont="1"/>
    <xf numFmtId="2" fontId="2" fillId="15" borderId="1" xfId="0" applyNumberFormat="1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2" fontId="2" fillId="18" borderId="1" xfId="0" applyNumberFormat="1" applyFont="1" applyFill="1" applyBorder="1" applyAlignment="1">
      <alignment horizontal="center"/>
    </xf>
    <xf numFmtId="0" fontId="15" fillId="19" borderId="1" xfId="0" applyFont="1" applyFill="1" applyBorder="1" applyAlignment="1">
      <alignment horizontal="center"/>
    </xf>
    <xf numFmtId="0" fontId="15" fillId="20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0" fontId="0" fillId="8" borderId="0" xfId="0" applyFill="1"/>
    <xf numFmtId="0" fontId="0" fillId="2" borderId="0" xfId="0" applyFill="1"/>
    <xf numFmtId="0" fontId="2" fillId="8" borderId="1" xfId="0" applyFont="1" applyFill="1" applyBorder="1"/>
    <xf numFmtId="0" fontId="0" fillId="8" borderId="5" xfId="0" applyFill="1" applyBorder="1"/>
    <xf numFmtId="0" fontId="2" fillId="8" borderId="0" xfId="0" applyFont="1" applyFill="1"/>
    <xf numFmtId="0" fontId="2" fillId="22" borderId="1" xfId="0" applyFont="1" applyFill="1" applyBorder="1"/>
    <xf numFmtId="0" fontId="2" fillId="22" borderId="1" xfId="0" applyFont="1" applyFill="1" applyBorder="1" applyAlignment="1">
      <alignment horizontal="center"/>
    </xf>
    <xf numFmtId="2" fontId="2" fillId="22" borderId="1" xfId="0" applyNumberFormat="1" applyFont="1" applyFill="1" applyBorder="1" applyAlignment="1">
      <alignment horizontal="center"/>
    </xf>
    <xf numFmtId="0" fontId="0" fillId="19" borderId="1" xfId="0" applyFill="1" applyBorder="1"/>
    <xf numFmtId="2" fontId="4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164" fontId="0" fillId="0" borderId="0" xfId="0" applyNumberFormat="1"/>
    <xf numFmtId="168" fontId="0" fillId="0" borderId="0" xfId="0" applyNumberFormat="1"/>
    <xf numFmtId="0" fontId="2" fillId="23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18" fontId="2" fillId="0" borderId="1" xfId="0" applyNumberFormat="1" applyFont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2" fontId="0" fillId="2" borderId="1" xfId="0" applyNumberFormat="1" applyFill="1" applyBorder="1"/>
    <xf numFmtId="165" fontId="0" fillId="2" borderId="1" xfId="0" applyNumberFormat="1" applyFill="1" applyBorder="1"/>
    <xf numFmtId="165" fontId="2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/>
    <xf numFmtId="166" fontId="6" fillId="0" borderId="0" xfId="0" applyNumberFormat="1" applyFont="1"/>
    <xf numFmtId="0" fontId="6" fillId="0" borderId="0" xfId="0" applyFont="1"/>
    <xf numFmtId="165" fontId="0" fillId="4" borderId="0" xfId="0" applyNumberFormat="1" applyFill="1"/>
    <xf numFmtId="2" fontId="0" fillId="4" borderId="0" xfId="0" applyNumberFormat="1" applyFill="1"/>
    <xf numFmtId="164" fontId="2" fillId="19" borderId="1" xfId="1" applyNumberFormat="1" applyFont="1" applyFill="1" applyBorder="1" applyAlignment="1">
      <alignment horizontal="center"/>
    </xf>
    <xf numFmtId="164" fontId="0" fillId="19" borderId="1" xfId="1" applyNumberFormat="1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24" borderId="1" xfId="0" applyFont="1" applyFill="1" applyBorder="1"/>
    <xf numFmtId="0" fontId="2" fillId="2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64" fontId="0" fillId="4" borderId="0" xfId="1" applyNumberFormat="1" applyFont="1" applyFill="1" applyAlignment="1">
      <alignment horizontal="center"/>
    </xf>
    <xf numFmtId="164" fontId="3" fillId="19" borderId="1" xfId="1" applyNumberFormat="1" applyFont="1" applyFill="1" applyBorder="1" applyAlignment="1">
      <alignment horizontal="center"/>
    </xf>
    <xf numFmtId="164" fontId="2" fillId="19" borderId="8" xfId="1" applyNumberFormat="1" applyFont="1" applyFill="1" applyBorder="1" applyAlignment="1">
      <alignment horizontal="center"/>
    </xf>
    <xf numFmtId="164" fontId="0" fillId="19" borderId="3" xfId="1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/>
    </xf>
    <xf numFmtId="0" fontId="0" fillId="6" borderId="7" xfId="0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2" borderId="7" xfId="0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0" fillId="28" borderId="7" xfId="0" applyFill="1" applyBorder="1" applyAlignment="1">
      <alignment horizontal="center"/>
    </xf>
    <xf numFmtId="0" fontId="2" fillId="29" borderId="7" xfId="0" applyFont="1" applyFill="1" applyBorder="1" applyAlignment="1">
      <alignment horizontal="center"/>
    </xf>
    <xf numFmtId="2" fontId="2" fillId="0" borderId="1" xfId="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4" fillId="6" borderId="1" xfId="0" applyFont="1" applyFill="1" applyBorder="1" applyAlignment="1">
      <alignment horizontal="center"/>
    </xf>
    <xf numFmtId="165" fontId="0" fillId="2" borderId="4" xfId="0" applyNumberFormat="1" applyFill="1" applyBorder="1"/>
    <xf numFmtId="0" fontId="2" fillId="30" borderId="1" xfId="0" applyFont="1" applyFill="1" applyBorder="1" applyAlignment="1">
      <alignment horizontal="center"/>
    </xf>
    <xf numFmtId="0" fontId="15" fillId="31" borderId="1" xfId="0" applyFont="1" applyFill="1" applyBorder="1" applyAlignment="1">
      <alignment horizontal="center"/>
    </xf>
    <xf numFmtId="0" fontId="24" fillId="31" borderId="1" xfId="0" applyFont="1" applyFill="1" applyBorder="1" applyAlignment="1">
      <alignment horizontal="center"/>
    </xf>
    <xf numFmtId="2" fontId="15" fillId="31" borderId="1" xfId="0" applyNumberFormat="1" applyFont="1" applyFill="1" applyBorder="1" applyAlignment="1">
      <alignment horizontal="center"/>
    </xf>
    <xf numFmtId="0" fontId="2" fillId="32" borderId="1" xfId="0" applyFont="1" applyFill="1" applyBorder="1" applyAlignment="1">
      <alignment horizontal="center"/>
    </xf>
    <xf numFmtId="2" fontId="2" fillId="32" borderId="1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33" borderId="6" xfId="0" applyFont="1" applyFill="1" applyBorder="1" applyAlignment="1">
      <alignment horizontal="center"/>
    </xf>
    <xf numFmtId="164" fontId="25" fillId="28" borderId="13" xfId="1" applyNumberFormat="1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169" fontId="2" fillId="29" borderId="7" xfId="0" applyNumberFormat="1" applyFont="1" applyFill="1" applyBorder="1" applyAlignment="1">
      <alignment horizontal="center"/>
    </xf>
    <xf numFmtId="43" fontId="2" fillId="7" borderId="7" xfId="0" applyNumberFormat="1" applyFont="1" applyFill="1" applyBorder="1" applyAlignment="1">
      <alignment horizontal="center"/>
    </xf>
    <xf numFmtId="0" fontId="2" fillId="28" borderId="13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29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7" xfId="0" applyFont="1" applyBorder="1"/>
    <xf numFmtId="170" fontId="0" fillId="2" borderId="7" xfId="0" applyNumberFormat="1" applyFill="1" applyBorder="1" applyAlignment="1">
      <alignment horizontal="right"/>
    </xf>
    <xf numFmtId="2" fontId="0" fillId="0" borderId="0" xfId="0" applyNumberFormat="1" applyAlignment="1">
      <alignment horizontal="center"/>
    </xf>
    <xf numFmtId="1" fontId="0" fillId="2" borderId="1" xfId="0" applyNumberFormat="1" applyFill="1" applyBorder="1"/>
    <xf numFmtId="0" fontId="2" fillId="0" borderId="0" xfId="0" applyFont="1"/>
    <xf numFmtId="1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2" fillId="6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71" fontId="0" fillId="0" borderId="0" xfId="0" applyNumberFormat="1"/>
    <xf numFmtId="173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74" fontId="0" fillId="0" borderId="0" xfId="0" applyNumberFormat="1" applyAlignment="1">
      <alignment horizontal="center"/>
    </xf>
    <xf numFmtId="174" fontId="0" fillId="0" borderId="1" xfId="0" applyNumberFormat="1" applyBorder="1" applyAlignment="1">
      <alignment horizontal="center"/>
    </xf>
    <xf numFmtId="2" fontId="2" fillId="24" borderId="1" xfId="0" applyNumberFormat="1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/>
    </xf>
    <xf numFmtId="2" fontId="15" fillId="3" borderId="1" xfId="0" applyNumberFormat="1" applyFont="1" applyFill="1" applyBorder="1" applyAlignment="1">
      <alignment horizontal="center"/>
    </xf>
    <xf numFmtId="2" fontId="24" fillId="31" borderId="1" xfId="0" applyNumberFormat="1" applyFont="1" applyFill="1" applyBorder="1" applyAlignment="1">
      <alignment horizontal="center"/>
    </xf>
    <xf numFmtId="2" fontId="15" fillId="6" borderId="1" xfId="0" applyNumberFormat="1" applyFont="1" applyFill="1" applyBorder="1" applyAlignment="1">
      <alignment horizontal="center"/>
    </xf>
    <xf numFmtId="2" fontId="24" fillId="6" borderId="1" xfId="0" applyNumberFormat="1" applyFont="1" applyFill="1" applyBorder="1" applyAlignment="1">
      <alignment horizontal="center"/>
    </xf>
    <xf numFmtId="2" fontId="2" fillId="10" borderId="1" xfId="0" applyNumberFormat="1" applyFont="1" applyFill="1" applyBorder="1" applyAlignment="1">
      <alignment horizontal="center"/>
    </xf>
    <xf numFmtId="2" fontId="2" fillId="30" borderId="1" xfId="0" applyNumberFormat="1" applyFont="1" applyFill="1" applyBorder="1" applyAlignment="1">
      <alignment horizontal="center"/>
    </xf>
    <xf numFmtId="2" fontId="15" fillId="11" borderId="1" xfId="0" applyNumberFormat="1" applyFont="1" applyFill="1" applyBorder="1" applyAlignment="1">
      <alignment horizontal="center"/>
    </xf>
    <xf numFmtId="2" fontId="2" fillId="12" borderId="1" xfId="0" applyNumberFormat="1" applyFont="1" applyFill="1" applyBorder="1" applyAlignment="1">
      <alignment horizontal="center"/>
    </xf>
    <xf numFmtId="2" fontId="2" fillId="14" borderId="1" xfId="0" applyNumberFormat="1" applyFont="1" applyFill="1" applyBorder="1" applyAlignment="1">
      <alignment horizontal="center"/>
    </xf>
    <xf numFmtId="2" fontId="2" fillId="16" borderId="1" xfId="0" applyNumberFormat="1" applyFont="1" applyFill="1" applyBorder="1" applyAlignment="1">
      <alignment horizontal="center"/>
    </xf>
    <xf numFmtId="2" fontId="2" fillId="17" borderId="1" xfId="0" applyNumberFormat="1" applyFont="1" applyFill="1" applyBorder="1" applyAlignment="1">
      <alignment horizontal="center"/>
    </xf>
    <xf numFmtId="2" fontId="15" fillId="19" borderId="1" xfId="0" applyNumberFormat="1" applyFont="1" applyFill="1" applyBorder="1" applyAlignment="1">
      <alignment horizontal="center"/>
    </xf>
    <xf numFmtId="2" fontId="2" fillId="20" borderId="1" xfId="0" applyNumberFormat="1" applyFont="1" applyFill="1" applyBorder="1" applyAlignment="1">
      <alignment horizontal="center"/>
    </xf>
    <xf numFmtId="2" fontId="2" fillId="21" borderId="1" xfId="0" applyNumberFormat="1" applyFont="1" applyFill="1" applyBorder="1" applyAlignment="1">
      <alignment horizontal="center"/>
    </xf>
    <xf numFmtId="2" fontId="2" fillId="25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29" borderId="16" xfId="0" applyNumberFormat="1" applyFont="1" applyFill="1" applyBorder="1" applyAlignment="1">
      <alignment horizontal="center"/>
    </xf>
    <xf numFmtId="2" fontId="2" fillId="7" borderId="16" xfId="0" applyNumberFormat="1" applyFont="1" applyFill="1" applyBorder="1" applyAlignment="1">
      <alignment horizontal="center"/>
    </xf>
    <xf numFmtId="2" fontId="2" fillId="29" borderId="7" xfId="0" applyNumberFormat="1" applyFont="1" applyFill="1" applyBorder="1" applyAlignment="1">
      <alignment horizontal="center"/>
    </xf>
    <xf numFmtId="2" fontId="2" fillId="7" borderId="7" xfId="0" applyNumberFormat="1" applyFont="1" applyFill="1" applyBorder="1" applyAlignment="1">
      <alignment horizontal="center"/>
    </xf>
    <xf numFmtId="2" fontId="0" fillId="19" borderId="1" xfId="0" applyNumberFormat="1" applyFill="1" applyBorder="1" applyAlignment="1">
      <alignment horizontal="center"/>
    </xf>
    <xf numFmtId="2" fontId="2" fillId="23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24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5" fillId="31" borderId="1" xfId="0" applyFont="1" applyFill="1" applyBorder="1" applyAlignment="1">
      <alignment horizontal="left"/>
    </xf>
    <xf numFmtId="0" fontId="15" fillId="6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30" borderId="1" xfId="0" applyFont="1" applyFill="1" applyBorder="1" applyAlignment="1">
      <alignment horizontal="left"/>
    </xf>
    <xf numFmtId="0" fontId="15" fillId="11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2" fillId="16" borderId="1" xfId="0" applyFont="1" applyFill="1" applyBorder="1" applyAlignment="1">
      <alignment horizontal="left"/>
    </xf>
    <xf numFmtId="0" fontId="2" fillId="17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0" fontId="15" fillId="19" borderId="1" xfId="0" applyFont="1" applyFill="1" applyBorder="1" applyAlignment="1">
      <alignment horizontal="left"/>
    </xf>
    <xf numFmtId="0" fontId="2" fillId="20" borderId="1" xfId="0" applyFont="1" applyFill="1" applyBorder="1" applyAlignment="1">
      <alignment horizontal="left"/>
    </xf>
    <xf numFmtId="0" fontId="2" fillId="32" borderId="1" xfId="0" applyFont="1" applyFill="1" applyBorder="1" applyAlignment="1">
      <alignment horizontal="left"/>
    </xf>
    <xf numFmtId="0" fontId="2" fillId="21" borderId="1" xfId="0" applyFont="1" applyFill="1" applyBorder="1" applyAlignment="1">
      <alignment horizontal="left"/>
    </xf>
    <xf numFmtId="0" fontId="2" fillId="2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2" borderId="1" xfId="0" applyFont="1" applyFill="1" applyBorder="1" applyAlignment="1">
      <alignment horizontal="left"/>
    </xf>
    <xf numFmtId="0" fontId="2" fillId="7" borderId="16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0" fontId="2" fillId="2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Fill="1"/>
    <xf numFmtId="0" fontId="2" fillId="6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4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7" borderId="6" xfId="0" applyFont="1" applyFill="1" applyBorder="1" applyAlignment="1">
      <alignment horizontal="center"/>
    </xf>
    <xf numFmtId="0" fontId="2" fillId="17" borderId="4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2" fillId="18" borderId="6" xfId="0" applyFont="1" applyFill="1" applyBorder="1" applyAlignment="1">
      <alignment horizontal="center"/>
    </xf>
    <xf numFmtId="0" fontId="2" fillId="18" borderId="4" xfId="0" applyFont="1" applyFill="1" applyBorder="1" applyAlignment="1">
      <alignment horizontal="center"/>
    </xf>
    <xf numFmtId="0" fontId="15" fillId="19" borderId="2" xfId="0" applyFont="1" applyFill="1" applyBorder="1" applyAlignment="1">
      <alignment horizontal="center"/>
    </xf>
    <xf numFmtId="0" fontId="15" fillId="19" borderId="6" xfId="0" applyFont="1" applyFill="1" applyBorder="1" applyAlignment="1">
      <alignment horizontal="center"/>
    </xf>
    <xf numFmtId="0" fontId="15" fillId="19" borderId="4" xfId="0" applyFont="1" applyFill="1" applyBorder="1" applyAlignment="1">
      <alignment horizontal="center"/>
    </xf>
    <xf numFmtId="0" fontId="2" fillId="20" borderId="2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  <xf numFmtId="0" fontId="2" fillId="32" borderId="2" xfId="0" applyFont="1" applyFill="1" applyBorder="1" applyAlignment="1">
      <alignment horizontal="center"/>
    </xf>
    <xf numFmtId="0" fontId="2" fillId="32" borderId="6" xfId="0" applyFont="1" applyFill="1" applyBorder="1" applyAlignment="1">
      <alignment horizontal="center"/>
    </xf>
    <xf numFmtId="0" fontId="2" fillId="3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2" fillId="21" borderId="6" xfId="0" applyFont="1" applyFill="1" applyBorder="1" applyAlignment="1">
      <alignment horizontal="center"/>
    </xf>
    <xf numFmtId="0" fontId="2" fillId="21" borderId="4" xfId="0" applyFont="1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2" fillId="24" borderId="4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1" borderId="2" xfId="0" applyFont="1" applyFill="1" applyBorder="1" applyAlignment="1">
      <alignment horizontal="center"/>
    </xf>
    <xf numFmtId="0" fontId="15" fillId="31" borderId="6" xfId="0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30" borderId="2" xfId="0" applyFont="1" applyFill="1" applyBorder="1" applyAlignment="1">
      <alignment horizontal="center"/>
    </xf>
    <xf numFmtId="0" fontId="2" fillId="30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15" fillId="11" borderId="2" xfId="0" applyFont="1" applyFill="1" applyBorder="1" applyAlignment="1">
      <alignment horizontal="center"/>
    </xf>
    <xf numFmtId="0" fontId="15" fillId="11" borderId="6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7" fillId="0" borderId="0" xfId="0" applyFont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0.png"/><Relationship Id="rId1" Type="http://schemas.openxmlformats.org/officeDocument/2006/relationships/customXml" Target="../ink/ink1.xml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104775</xdr:rowOff>
    </xdr:from>
    <xdr:to>
      <xdr:col>5</xdr:col>
      <xdr:colOff>333375</xdr:colOff>
      <xdr:row>9</xdr:row>
      <xdr:rowOff>114300</xdr:rowOff>
    </xdr:to>
    <xdr:cxnSp macro="">
      <xdr:nvCxnSpPr>
        <xdr:cNvPr id="17" name="Conector Reto 1">
          <a:extLst>
            <a:ext uri="{FF2B5EF4-FFF2-40B4-BE49-F238E27FC236}">
              <a16:creationId xmlns:a16="http://schemas.microsoft.com/office/drawing/2014/main" id="{7E5FCF67-49BA-DB94-E1D0-382572E820C1}"/>
            </a:ext>
          </a:extLst>
        </xdr:cNvPr>
        <xdr:cNvCxnSpPr>
          <a:cxnSpLocks/>
        </xdr:cNvCxnSpPr>
      </xdr:nvCxnSpPr>
      <xdr:spPr>
        <a:xfrm flipV="1">
          <a:off x="19050" y="1438275"/>
          <a:ext cx="336232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0</xdr:row>
      <xdr:rowOff>9525</xdr:rowOff>
    </xdr:from>
    <xdr:to>
      <xdr:col>3</xdr:col>
      <xdr:colOff>152400</xdr:colOff>
      <xdr:row>25</xdr:row>
      <xdr:rowOff>180975</xdr:rowOff>
    </xdr:to>
    <xdr:cxnSp macro="">
      <xdr:nvCxnSpPr>
        <xdr:cNvPr id="9" name="Conector Reto 2">
          <a:extLst>
            <a:ext uri="{FF2B5EF4-FFF2-40B4-BE49-F238E27FC236}">
              <a16:creationId xmlns:a16="http://schemas.microsoft.com/office/drawing/2014/main" id="{1D0445C8-0828-F042-74DF-A2EE31F0FE6E}"/>
            </a:ext>
            <a:ext uri="{147F2762-F138-4A5C-976F-8EAC2B608ADB}">
              <a16:predDERef xmlns:a16="http://schemas.microsoft.com/office/drawing/2014/main" pred="{7E5FCF67-49BA-DB94-E1D0-382572E820C1}"/>
            </a:ext>
          </a:extLst>
        </xdr:cNvPr>
        <xdr:cNvCxnSpPr>
          <a:cxnSpLocks/>
        </xdr:cNvCxnSpPr>
      </xdr:nvCxnSpPr>
      <xdr:spPr>
        <a:xfrm>
          <a:off x="1971675" y="9525"/>
          <a:ext cx="9525" cy="45529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228600</xdr:colOff>
      <xdr:row>15</xdr:row>
      <xdr:rowOff>161925</xdr:rowOff>
    </xdr:from>
    <xdr:to>
      <xdr:col>13</xdr:col>
      <xdr:colOff>571500</xdr:colOff>
      <xdr:row>20</xdr:row>
      <xdr:rowOff>161925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C03432CC-28DC-69C2-CC86-068243A772AF}"/>
            </a:ext>
            <a:ext uri="{147F2762-F138-4A5C-976F-8EAC2B608ADB}">
              <a16:predDERef xmlns:a16="http://schemas.microsoft.com/office/drawing/2014/main" pred="{1D0445C8-0828-F042-74DF-A2EE31F0FE6E}"/>
            </a:ext>
          </a:extLst>
        </xdr:cNvPr>
        <xdr:cNvCxnSpPr/>
      </xdr:nvCxnSpPr>
      <xdr:spPr>
        <a:xfrm>
          <a:off x="7543800" y="2638425"/>
          <a:ext cx="952500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16</xdr:row>
      <xdr:rowOff>161925</xdr:rowOff>
    </xdr:from>
    <xdr:to>
      <xdr:col>14</xdr:col>
      <xdr:colOff>152400</xdr:colOff>
      <xdr:row>21</xdr:row>
      <xdr:rowOff>161925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1C003D74-21EF-26BB-09E0-D1F5367BC0C6}"/>
            </a:ext>
            <a:ext uri="{147F2762-F138-4A5C-976F-8EAC2B608ADB}">
              <a16:predDERef xmlns:a16="http://schemas.microsoft.com/office/drawing/2014/main" pred="{C03432CC-28DC-69C2-CC86-068243A772AF}"/>
            </a:ext>
          </a:extLst>
        </xdr:cNvPr>
        <xdr:cNvCxnSpPr/>
      </xdr:nvCxnSpPr>
      <xdr:spPr>
        <a:xfrm>
          <a:off x="7734300" y="2828925"/>
          <a:ext cx="952500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219075</xdr:colOff>
      <xdr:row>16</xdr:row>
      <xdr:rowOff>28575</xdr:rowOff>
    </xdr:from>
    <xdr:to>
      <xdr:col>13</xdr:col>
      <xdr:colOff>533400</xdr:colOff>
      <xdr:row>18</xdr:row>
      <xdr:rowOff>14472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46B82E8A-50B3-4D8A-8C76-1ECF5D4CA8B8}"/>
                </a:ext>
                <a:ext uri="{147F2762-F138-4A5C-976F-8EAC2B608ADB}">
                  <a16:predDERef xmlns:a16="http://schemas.microsoft.com/office/drawing/2014/main" pred="{1C003D74-21EF-26BB-09E0-D1F5367BC0C6}"/>
                </a:ext>
              </a:extLst>
            </xdr14:cNvPr>
            <xdr14:cNvContentPartPr/>
          </xdr14:nvContentPartPr>
          <xdr14:nvPr macro=""/>
          <xdr14:xfrm>
            <a:off x="8143875" y="3076575"/>
            <a:ext cx="314325" cy="361950"/>
          </xdr14:xfrm>
        </xdr:contentPart>
      </mc:Choice>
      <mc:Fallback xmlns=""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46B82E8A-50B3-4D8A-8C76-1ECF5D4CA8B8}"/>
                </a:ext>
                <a:ext uri="{147F2762-F138-4A5C-976F-8EAC2B608ADB}">
                  <a16:predDERef xmlns:a16="http://schemas.microsoft.com/office/drawing/2014/main" pred="{1C003D74-21EF-26BB-09E0-D1F5367BC0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26432" y="3058496"/>
              <a:ext cx="349566" cy="3977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485775</xdr:colOff>
      <xdr:row>18</xdr:row>
      <xdr:rowOff>66675</xdr:rowOff>
    </xdr:from>
    <xdr:to>
      <xdr:col>13</xdr:col>
      <xdr:colOff>485775</xdr:colOff>
      <xdr:row>18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03E6ED80-BB70-4E59-8B5B-B94C0AE18FF1}"/>
                </a:ext>
                <a:ext uri="{147F2762-F138-4A5C-976F-8EAC2B608ADB}">
                  <a16:predDERef xmlns:a16="http://schemas.microsoft.com/office/drawing/2014/main" pred="{46B82E8A-50B3-4D8A-8C76-1ECF5D4CA8B8}"/>
                </a:ext>
              </a:extLst>
            </xdr14:cNvPr>
            <xdr14:cNvContentPartPr/>
          </xdr14:nvContentPartPr>
          <xdr14:nvPr macro=""/>
          <xdr14:xfrm>
            <a:off x="8410575" y="3495675"/>
            <a:ext cx="0" cy="0"/>
          </xdr14:xfrm>
        </xdr:contentPart>
      </mc:Choice>
      <mc:Fallback xmlns=""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03E6ED80-BB70-4E59-8B5B-B94C0AE18FF1}"/>
                </a:ext>
                <a:ext uri="{147F2762-F138-4A5C-976F-8EAC2B608ADB}">
                  <a16:predDERef xmlns:a16="http://schemas.microsoft.com/office/drawing/2014/main" pred="{46B82E8A-50B3-4D8A-8C76-1ECF5D4CA8B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10575" y="34956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0</xdr:colOff>
      <xdr:row>14</xdr:row>
      <xdr:rowOff>66675</xdr:rowOff>
    </xdr:from>
    <xdr:to>
      <xdr:col>5</xdr:col>
      <xdr:colOff>457200</xdr:colOff>
      <xdr:row>14</xdr:row>
      <xdr:rowOff>104775</xdr:rowOff>
    </xdr:to>
    <xdr:cxnSp macro="">
      <xdr:nvCxnSpPr>
        <xdr:cNvPr id="28" name="Conector Reto 9">
          <a:extLst>
            <a:ext uri="{FF2B5EF4-FFF2-40B4-BE49-F238E27FC236}">
              <a16:creationId xmlns:a16="http://schemas.microsoft.com/office/drawing/2014/main" id="{BE231B78-B73C-80C9-2C21-C67AC4F43276}"/>
            </a:ext>
            <a:ext uri="{147F2762-F138-4A5C-976F-8EAC2B608ADB}">
              <a16:predDERef xmlns:a16="http://schemas.microsoft.com/office/drawing/2014/main" pred="{03E6ED80-BB70-4E59-8B5B-B94C0AE18FF1}"/>
            </a:ext>
          </a:extLst>
        </xdr:cNvPr>
        <xdr:cNvCxnSpPr>
          <a:cxnSpLocks/>
        </xdr:cNvCxnSpPr>
      </xdr:nvCxnSpPr>
      <xdr:spPr>
        <a:xfrm flipV="1">
          <a:off x="0" y="2733675"/>
          <a:ext cx="3505200" cy="3810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19</xdr:row>
      <xdr:rowOff>114300</xdr:rowOff>
    </xdr:from>
    <xdr:to>
      <xdr:col>5</xdr:col>
      <xdr:colOff>552450</xdr:colOff>
      <xdr:row>19</xdr:row>
      <xdr:rowOff>123825</xdr:rowOff>
    </xdr:to>
    <xdr:cxnSp macro="">
      <xdr:nvCxnSpPr>
        <xdr:cNvPr id="34" name="Conector Reto 10">
          <a:extLst>
            <a:ext uri="{FF2B5EF4-FFF2-40B4-BE49-F238E27FC236}">
              <a16:creationId xmlns:a16="http://schemas.microsoft.com/office/drawing/2014/main" id="{5450EF38-719B-CD33-3861-C7B40A330EA0}"/>
            </a:ext>
            <a:ext uri="{147F2762-F138-4A5C-976F-8EAC2B608ADB}">
              <a16:predDERef xmlns:a16="http://schemas.microsoft.com/office/drawing/2014/main" pred="{BE231B78-B73C-80C9-2C21-C67AC4F43276}"/>
            </a:ext>
          </a:extLst>
        </xdr:cNvPr>
        <xdr:cNvCxnSpPr>
          <a:cxnSpLocks/>
        </xdr:cNvCxnSpPr>
      </xdr:nvCxnSpPr>
      <xdr:spPr>
        <a:xfrm flipV="1">
          <a:off x="28575" y="3733800"/>
          <a:ext cx="3571875" cy="95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horcaixaind-my.sharepoint.com/personal/ti_senhorcaixa_com_br/Documents/SenhorCaixa/Logistica/ENTREGAS%202024/MOTORISTAS%202024.xlsx" TargetMode="External"/><Relationship Id="rId1" Type="http://schemas.openxmlformats.org/officeDocument/2006/relationships/externalLinkPath" Target="https://senhorcaixaind-my.sharepoint.com/personal/ti_senhorcaixa_com_br/Documents/SenhorCaixa/Logistica/ENTREGAS%202024/MOTORISTAS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bra8AUsKmkO6C7jDsez4f4WAKSqXgpNCkYQLwGuvbSuPGXJQWdOIQauFvm9w3qem" itemId="01YNPCUR6F7GO2VARULFAZHN7R5SXTMHBH">
      <xxl21:absoluteUrl r:id="rId2"/>
    </xxl21:alternateUrls>
    <sheetNames>
      <sheetName val="GERAL"/>
      <sheetName val="RICHARD"/>
      <sheetName val="BRUNO TOMAZZINHO"/>
      <sheetName val="JAMES"/>
      <sheetName val="LEANDRO"/>
      <sheetName val="RONALDO"/>
      <sheetName val="JONAS"/>
      <sheetName val="EDUARDO"/>
      <sheetName val="KAIQUE - RIO"/>
      <sheetName val="LUIZ TRINDADE - RIO"/>
      <sheetName val="EDINILSON - RIO"/>
      <sheetName val="BRUNO - RIO"/>
      <sheetName val="PAULO GIOVANE - RIO"/>
      <sheetName val="WAGNER - FIORINO"/>
      <sheetName val="RODRIGO"/>
      <sheetName val="FAGNER - FILHO"/>
      <sheetName val="ANDERSON BARROS"/>
      <sheetName val="ADEMIR"/>
      <sheetName val="ROBSON"/>
      <sheetName val="DAMINHÃO"/>
      <sheetName val="JOÃO JUNIOR"/>
      <sheetName val="TIO "/>
      <sheetName val="CLAUDIO "/>
      <sheetName val="EDUARDO "/>
      <sheetName val="BIA - RIO"/>
      <sheetName val="VICTOR FERNANDES"/>
      <sheetName val="KLERYSSON MONTEIRO"/>
      <sheetName val="TABELA ATUALIZADA"/>
      <sheetName val="TABELA"/>
      <sheetName val="Planilha1"/>
    </sheetNames>
    <sheetDataSet>
      <sheetData sheetId="0"/>
      <sheetData sheetId="1">
        <row r="129">
          <cell r="A129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8-16T19:51:37.16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22628 9170 16383 0 0,'0'0'0'0'0</inkml:trace>
  <inkml:trace contextRef="#ctx0" brushRef="#br0" timeOffset="36.47">22804 9553 16383 0 0,'0'0'0'0'0</inkml:trace>
  <inkml:trace contextRef="#ctx0" brushRef="#br0" timeOffset="36.47">23510 8553 16383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8-16T19:51:37.17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23363 9700 16383 0 0,'0'0'0'0'0</inkml:trace>
</inkml: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0FE2-4FAB-45AE-8B55-912AB2C6C8FB}">
  <dimension ref="A1:I212"/>
  <sheetViews>
    <sheetView showGridLines="0" tabSelected="1" zoomScale="160" zoomScaleNormal="160" workbookViewId="0">
      <selection activeCell="A6" sqref="A6"/>
    </sheetView>
  </sheetViews>
  <sheetFormatPr defaultRowHeight="15" x14ac:dyDescent="0.25"/>
  <cols>
    <col min="1" max="1" width="28.5703125" customWidth="1"/>
    <col min="2" max="2" width="15.7109375" bestFit="1" customWidth="1"/>
    <col min="3" max="3" width="23.5703125" style="209" bestFit="1" customWidth="1"/>
    <col min="4" max="4" width="12.28515625" style="141" bestFit="1" customWidth="1"/>
    <col min="5" max="7" width="13.5703125" style="141" customWidth="1"/>
    <col min="8" max="8" width="9.85546875" style="3" bestFit="1" customWidth="1"/>
    <col min="9" max="9" width="8.28515625" style="3" customWidth="1"/>
  </cols>
  <sheetData>
    <row r="1" spans="1:9" x14ac:dyDescent="0.25">
      <c r="A1" s="147" t="s">
        <v>294</v>
      </c>
      <c r="B1" t="s">
        <v>295</v>
      </c>
      <c r="C1" s="180" t="s">
        <v>571</v>
      </c>
      <c r="D1" s="13" t="s">
        <v>296</v>
      </c>
      <c r="E1" s="13" t="s">
        <v>297</v>
      </c>
      <c r="F1" s="13" t="s">
        <v>298</v>
      </c>
      <c r="G1" s="13" t="s">
        <v>300</v>
      </c>
      <c r="H1" s="147" t="s">
        <v>299</v>
      </c>
      <c r="I1" s="2" t="s">
        <v>7</v>
      </c>
    </row>
    <row r="2" spans="1:9" x14ac:dyDescent="0.25">
      <c r="A2" t="s">
        <v>301</v>
      </c>
      <c r="B2" t="s">
        <v>384</v>
      </c>
      <c r="C2" s="180" t="s">
        <v>12</v>
      </c>
      <c r="D2" s="13">
        <v>5</v>
      </c>
      <c r="E2" s="13">
        <v>0.28999999999999998</v>
      </c>
      <c r="F2" s="13">
        <v>0.37</v>
      </c>
      <c r="G2" s="13">
        <v>0.18</v>
      </c>
      <c r="H2" s="147">
        <v>50</v>
      </c>
      <c r="I2" s="70"/>
    </row>
    <row r="3" spans="1:9" x14ac:dyDescent="0.25">
      <c r="A3" t="s">
        <v>301</v>
      </c>
      <c r="B3" t="s">
        <v>385</v>
      </c>
      <c r="C3" s="180" t="s">
        <v>14</v>
      </c>
      <c r="D3" s="13">
        <v>4.5</v>
      </c>
      <c r="E3" s="13">
        <v>0.35</v>
      </c>
      <c r="F3" s="13">
        <v>0.46</v>
      </c>
      <c r="G3" s="13">
        <v>0.17</v>
      </c>
      <c r="H3" s="147">
        <v>100</v>
      </c>
      <c r="I3" s="70"/>
    </row>
    <row r="4" spans="1:9" x14ac:dyDescent="0.25">
      <c r="A4" t="s">
        <v>301</v>
      </c>
      <c r="B4" t="s">
        <v>386</v>
      </c>
      <c r="C4" s="180" t="s">
        <v>338</v>
      </c>
      <c r="D4" s="13">
        <v>3</v>
      </c>
      <c r="E4" s="13">
        <v>0.44</v>
      </c>
      <c r="F4" s="13">
        <v>0.45</v>
      </c>
      <c r="G4" s="13">
        <v>0.14000000000000001</v>
      </c>
      <c r="H4" s="147">
        <v>50</v>
      </c>
      <c r="I4" s="70"/>
    </row>
    <row r="5" spans="1:9" s="211" customFormat="1" x14ac:dyDescent="0.25">
      <c r="A5" t="s">
        <v>301</v>
      </c>
      <c r="B5" t="s">
        <v>387</v>
      </c>
      <c r="C5" s="180" t="s">
        <v>339</v>
      </c>
      <c r="D5" s="13">
        <v>3.5</v>
      </c>
      <c r="E5" s="13">
        <v>0.64</v>
      </c>
      <c r="F5" s="13">
        <v>0.32</v>
      </c>
      <c r="G5" s="13">
        <v>0.19</v>
      </c>
      <c r="H5" s="147">
        <v>50</v>
      </c>
      <c r="I5" s="70"/>
    </row>
    <row r="6" spans="1:9" s="211" customFormat="1" x14ac:dyDescent="0.25">
      <c r="A6" t="s">
        <v>301</v>
      </c>
      <c r="B6" t="s">
        <v>388</v>
      </c>
      <c r="C6" s="180" t="s">
        <v>18</v>
      </c>
      <c r="D6" s="13">
        <v>8</v>
      </c>
      <c r="E6" s="13">
        <v>0.53</v>
      </c>
      <c r="F6" s="13">
        <v>0.38</v>
      </c>
      <c r="G6" s="13">
        <v>0.15</v>
      </c>
      <c r="H6" s="147">
        <v>25</v>
      </c>
      <c r="I6" s="70"/>
    </row>
    <row r="7" spans="1:9" s="211" customFormat="1" x14ac:dyDescent="0.25">
      <c r="A7" t="s">
        <v>301</v>
      </c>
      <c r="B7" t="s">
        <v>389</v>
      </c>
      <c r="C7" s="180" t="s">
        <v>19</v>
      </c>
      <c r="D7" s="13">
        <v>8</v>
      </c>
      <c r="E7" s="13">
        <v>0.87</v>
      </c>
      <c r="F7" s="13">
        <v>0.39</v>
      </c>
      <c r="G7" s="13">
        <v>0.14000000000000001</v>
      </c>
      <c r="H7" s="147">
        <v>50</v>
      </c>
      <c r="I7" s="70"/>
    </row>
    <row r="8" spans="1:9" s="211" customFormat="1" x14ac:dyDescent="0.25">
      <c r="A8" t="s">
        <v>301</v>
      </c>
      <c r="B8" t="s">
        <v>390</v>
      </c>
      <c r="C8" s="180" t="s">
        <v>20</v>
      </c>
      <c r="D8" s="13">
        <v>6</v>
      </c>
      <c r="E8" s="13">
        <v>0.72</v>
      </c>
      <c r="F8" s="13">
        <v>0.36</v>
      </c>
      <c r="G8" s="13">
        <v>0.14000000000000001</v>
      </c>
      <c r="H8" s="147">
        <v>100</v>
      </c>
      <c r="I8" s="70"/>
    </row>
    <row r="9" spans="1:9" s="211" customFormat="1" x14ac:dyDescent="0.25">
      <c r="A9" t="s">
        <v>301</v>
      </c>
      <c r="B9" t="s">
        <v>391</v>
      </c>
      <c r="C9" s="180" t="s">
        <v>21</v>
      </c>
      <c r="D9" s="13">
        <v>5</v>
      </c>
      <c r="E9" s="13">
        <v>0.74</v>
      </c>
      <c r="F9" s="13">
        <v>0.49</v>
      </c>
      <c r="G9" s="13">
        <v>0.15</v>
      </c>
      <c r="H9" s="212">
        <v>50</v>
      </c>
      <c r="I9" s="70"/>
    </row>
    <row r="10" spans="1:9" s="211" customFormat="1" x14ac:dyDescent="0.25">
      <c r="A10" t="s">
        <v>301</v>
      </c>
      <c r="B10" t="s">
        <v>392</v>
      </c>
      <c r="C10" s="180" t="s">
        <v>340</v>
      </c>
      <c r="D10" s="13">
        <v>5.5</v>
      </c>
      <c r="E10" s="13">
        <v>0.72</v>
      </c>
      <c r="F10" s="13">
        <v>0.38</v>
      </c>
      <c r="G10" s="13">
        <v>0.14000000000000001</v>
      </c>
      <c r="H10" s="147">
        <v>50</v>
      </c>
      <c r="I10" s="70"/>
    </row>
    <row r="11" spans="1:9" s="211" customFormat="1" x14ac:dyDescent="0.25">
      <c r="A11" t="s">
        <v>301</v>
      </c>
      <c r="B11" t="s">
        <v>393</v>
      </c>
      <c r="C11" s="180" t="s">
        <v>23</v>
      </c>
      <c r="D11" s="13">
        <v>8.5</v>
      </c>
      <c r="E11" s="13">
        <v>0.73</v>
      </c>
      <c r="F11" s="13">
        <v>0.44</v>
      </c>
      <c r="G11" s="13">
        <v>0.14000000000000001</v>
      </c>
      <c r="H11" s="147">
        <v>50</v>
      </c>
      <c r="I11" s="70"/>
    </row>
    <row r="12" spans="1:9" s="211" customFormat="1" x14ac:dyDescent="0.25">
      <c r="A12" t="s">
        <v>301</v>
      </c>
      <c r="B12" t="s">
        <v>394</v>
      </c>
      <c r="C12" s="180" t="s">
        <v>341</v>
      </c>
      <c r="D12" s="13">
        <v>8.5</v>
      </c>
      <c r="E12" s="13">
        <v>0.82</v>
      </c>
      <c r="F12" s="13">
        <v>0.42</v>
      </c>
      <c r="G12" s="13">
        <v>0.14000000000000001</v>
      </c>
      <c r="H12" s="147">
        <v>50</v>
      </c>
      <c r="I12" s="70"/>
    </row>
    <row r="13" spans="1:9" s="211" customFormat="1" x14ac:dyDescent="0.25">
      <c r="A13" t="s">
        <v>301</v>
      </c>
      <c r="B13" t="s">
        <v>395</v>
      </c>
      <c r="C13" s="180" t="s">
        <v>342</v>
      </c>
      <c r="D13" s="13">
        <v>9</v>
      </c>
      <c r="E13" s="13">
        <v>0.86</v>
      </c>
      <c r="F13" s="13">
        <v>0.47</v>
      </c>
      <c r="G13" s="13">
        <v>0.14000000000000001</v>
      </c>
      <c r="H13" s="147">
        <v>50</v>
      </c>
      <c r="I13" s="70"/>
    </row>
    <row r="14" spans="1:9" s="211" customFormat="1" x14ac:dyDescent="0.25">
      <c r="A14" t="s">
        <v>301</v>
      </c>
      <c r="B14" t="s">
        <v>565</v>
      </c>
      <c r="C14" s="180" t="s">
        <v>343</v>
      </c>
      <c r="D14" s="13">
        <v>4.5999999999999996</v>
      </c>
      <c r="E14" s="13">
        <v>0.5</v>
      </c>
      <c r="F14" s="13">
        <v>0.5</v>
      </c>
      <c r="G14" s="13">
        <v>0.2</v>
      </c>
      <c r="H14" s="147">
        <v>25</v>
      </c>
      <c r="I14" s="70" t="s">
        <v>27</v>
      </c>
    </row>
    <row r="15" spans="1:9" s="52" customFormat="1" ht="15" customHeight="1" x14ac:dyDescent="0.25">
      <c r="A15" s="52" t="s">
        <v>301</v>
      </c>
      <c r="B15" s="52" t="s">
        <v>566</v>
      </c>
      <c r="C15" s="210" t="s">
        <v>344</v>
      </c>
      <c r="D15" s="49">
        <v>9</v>
      </c>
      <c r="E15" s="49">
        <v>0.95</v>
      </c>
      <c r="F15" s="49">
        <v>0.5</v>
      </c>
      <c r="G15" s="49">
        <v>0.15</v>
      </c>
      <c r="H15" s="71">
        <v>50</v>
      </c>
      <c r="I15" s="71" t="s">
        <v>29</v>
      </c>
    </row>
    <row r="16" spans="1:9" ht="15" customHeight="1" x14ac:dyDescent="0.25">
      <c r="A16" t="s">
        <v>301</v>
      </c>
      <c r="B16" t="s">
        <v>396</v>
      </c>
      <c r="C16" s="180" t="s">
        <v>30</v>
      </c>
      <c r="D16" s="13">
        <v>11</v>
      </c>
      <c r="E16" s="13">
        <v>0.88</v>
      </c>
      <c r="F16" s="13">
        <v>0.56000000000000005</v>
      </c>
      <c r="G16" s="13">
        <v>0.13</v>
      </c>
      <c r="H16" s="147">
        <v>50</v>
      </c>
      <c r="I16" s="2"/>
    </row>
    <row r="17" spans="1:9" s="52" customFormat="1" ht="15" customHeight="1" x14ac:dyDescent="0.25">
      <c r="A17" s="52" t="s">
        <v>301</v>
      </c>
      <c r="B17" s="52" t="s">
        <v>567</v>
      </c>
      <c r="C17" s="210" t="s">
        <v>31</v>
      </c>
      <c r="D17" s="49">
        <v>6</v>
      </c>
      <c r="E17" s="49">
        <v>0.55000000000000004</v>
      </c>
      <c r="F17" s="49">
        <v>0.55000000000000004</v>
      </c>
      <c r="G17" s="49">
        <v>0.2</v>
      </c>
      <c r="H17" s="71">
        <v>25</v>
      </c>
      <c r="I17" s="71" t="s">
        <v>27</v>
      </c>
    </row>
    <row r="18" spans="1:9" ht="15" customHeight="1" x14ac:dyDescent="0.25">
      <c r="A18" t="s">
        <v>301</v>
      </c>
      <c r="B18" t="s">
        <v>395</v>
      </c>
      <c r="C18" s="180" t="s">
        <v>345</v>
      </c>
      <c r="D18" s="13">
        <v>8.5</v>
      </c>
      <c r="E18" s="13">
        <v>0.86</v>
      </c>
      <c r="F18" s="13">
        <v>0.47</v>
      </c>
      <c r="G18" s="13">
        <v>0.14000000000000001</v>
      </c>
      <c r="H18" s="147">
        <v>50</v>
      </c>
      <c r="I18" s="2" t="s">
        <v>29</v>
      </c>
    </row>
    <row r="19" spans="1:9" ht="15" customHeight="1" x14ac:dyDescent="0.25">
      <c r="A19" t="s">
        <v>301</v>
      </c>
      <c r="B19" t="s">
        <v>397</v>
      </c>
      <c r="C19" s="180" t="s">
        <v>33</v>
      </c>
      <c r="D19" s="13">
        <v>3</v>
      </c>
      <c r="E19" s="13">
        <v>0.49</v>
      </c>
      <c r="F19" s="13">
        <v>0.24</v>
      </c>
      <c r="G19" s="13">
        <v>0.18</v>
      </c>
      <c r="H19" s="147">
        <v>100</v>
      </c>
      <c r="I19" s="2"/>
    </row>
    <row r="20" spans="1:9" ht="15" customHeight="1" x14ac:dyDescent="0.25">
      <c r="A20" t="s">
        <v>301</v>
      </c>
      <c r="B20" t="s">
        <v>398</v>
      </c>
      <c r="C20" s="180" t="s">
        <v>34</v>
      </c>
      <c r="D20" s="13">
        <v>9</v>
      </c>
      <c r="E20" s="13">
        <v>0.43</v>
      </c>
      <c r="F20" s="13">
        <v>0.48</v>
      </c>
      <c r="G20" s="13">
        <v>0.19</v>
      </c>
      <c r="H20" s="147">
        <v>100</v>
      </c>
      <c r="I20" s="2"/>
    </row>
    <row r="21" spans="1:9" ht="15" customHeight="1" x14ac:dyDescent="0.25">
      <c r="A21" t="s">
        <v>301</v>
      </c>
      <c r="B21" t="s">
        <v>399</v>
      </c>
      <c r="C21" s="180" t="s">
        <v>35</v>
      </c>
      <c r="D21" s="13">
        <v>7.5</v>
      </c>
      <c r="E21" s="13">
        <v>0.43</v>
      </c>
      <c r="F21" s="13">
        <v>0.82</v>
      </c>
      <c r="G21" s="13">
        <v>7.0000000000000007E-2</v>
      </c>
      <c r="H21" s="147">
        <v>50</v>
      </c>
      <c r="I21" s="2"/>
    </row>
    <row r="22" spans="1:9" ht="15" customHeight="1" x14ac:dyDescent="0.25">
      <c r="A22" t="s">
        <v>301</v>
      </c>
      <c r="B22" t="s">
        <v>395</v>
      </c>
      <c r="C22" s="180" t="s">
        <v>346</v>
      </c>
      <c r="D22" s="13">
        <v>9</v>
      </c>
      <c r="E22" s="13">
        <v>0.86</v>
      </c>
      <c r="F22" s="13">
        <v>0.47</v>
      </c>
      <c r="G22" s="13">
        <v>0.14000000000000001</v>
      </c>
      <c r="H22" s="147">
        <v>50</v>
      </c>
      <c r="I22" s="2"/>
    </row>
    <row r="23" spans="1:9" ht="15" customHeight="1" x14ac:dyDescent="0.25">
      <c r="A23" t="s">
        <v>301</v>
      </c>
      <c r="B23" t="s">
        <v>400</v>
      </c>
      <c r="C23" s="180" t="s">
        <v>37</v>
      </c>
      <c r="D23" s="13">
        <v>12</v>
      </c>
      <c r="E23" s="13">
        <v>0.98</v>
      </c>
      <c r="F23" s="13">
        <v>0.49</v>
      </c>
      <c r="G23" s="13">
        <v>0.14000000000000001</v>
      </c>
      <c r="H23" s="147">
        <v>50</v>
      </c>
      <c r="I23" s="2"/>
    </row>
    <row r="24" spans="1:9" x14ac:dyDescent="0.25">
      <c r="A24" t="s">
        <v>301</v>
      </c>
      <c r="B24" t="s">
        <v>401</v>
      </c>
      <c r="C24" s="180" t="s">
        <v>38</v>
      </c>
      <c r="D24" s="13">
        <v>3</v>
      </c>
      <c r="E24" s="13">
        <v>0.43</v>
      </c>
      <c r="F24" s="13">
        <v>0.42</v>
      </c>
      <c r="G24" s="13">
        <v>0.12</v>
      </c>
      <c r="H24" s="147">
        <v>50</v>
      </c>
      <c r="I24" s="2"/>
    </row>
    <row r="25" spans="1:9" x14ac:dyDescent="0.25">
      <c r="A25" t="s">
        <v>301</v>
      </c>
      <c r="B25" t="s">
        <v>402</v>
      </c>
      <c r="C25" s="181" t="s">
        <v>40</v>
      </c>
      <c r="D25" s="154">
        <v>1.4</v>
      </c>
      <c r="E25" s="154">
        <v>0.26</v>
      </c>
      <c r="F25" s="154">
        <v>0.16</v>
      </c>
      <c r="G25" s="154">
        <v>0.14000000000000001</v>
      </c>
      <c r="H25" s="90">
        <v>100</v>
      </c>
      <c r="I25" s="100"/>
    </row>
    <row r="26" spans="1:9" x14ac:dyDescent="0.25">
      <c r="A26" t="s">
        <v>301</v>
      </c>
      <c r="B26" t="s">
        <v>403</v>
      </c>
      <c r="C26" s="181" t="s">
        <v>347</v>
      </c>
      <c r="D26" s="154">
        <v>3.5</v>
      </c>
      <c r="E26" s="154">
        <v>0.43</v>
      </c>
      <c r="F26" s="154">
        <v>0.52</v>
      </c>
      <c r="G26" s="154">
        <v>0.17</v>
      </c>
      <c r="H26" s="90">
        <v>50</v>
      </c>
      <c r="I26" s="100"/>
    </row>
    <row r="27" spans="1:9" x14ac:dyDescent="0.25">
      <c r="A27" t="s">
        <v>303</v>
      </c>
      <c r="B27" t="s">
        <v>404</v>
      </c>
      <c r="C27" s="182" t="s">
        <v>348</v>
      </c>
      <c r="D27" s="19">
        <v>2.5</v>
      </c>
      <c r="E27" s="19">
        <v>0.31</v>
      </c>
      <c r="F27" s="19">
        <v>0.31</v>
      </c>
      <c r="G27" s="19">
        <v>0.16</v>
      </c>
      <c r="H27" s="78">
        <v>25</v>
      </c>
      <c r="I27" s="2" t="s">
        <v>27</v>
      </c>
    </row>
    <row r="28" spans="1:9" x14ac:dyDescent="0.25">
      <c r="A28" t="s">
        <v>303</v>
      </c>
      <c r="B28" t="s">
        <v>405</v>
      </c>
      <c r="C28" s="182" t="s">
        <v>349</v>
      </c>
      <c r="D28" s="19">
        <v>2</v>
      </c>
      <c r="E28" s="19">
        <v>0.33</v>
      </c>
      <c r="F28" s="19">
        <v>0.63</v>
      </c>
      <c r="G28" s="19">
        <v>0.17</v>
      </c>
      <c r="H28" s="78">
        <v>50</v>
      </c>
      <c r="I28" s="2" t="s">
        <v>29</v>
      </c>
    </row>
    <row r="29" spans="1:9" x14ac:dyDescent="0.25">
      <c r="A29" t="s">
        <v>303</v>
      </c>
      <c r="B29" t="s">
        <v>568</v>
      </c>
      <c r="C29" s="182" t="s">
        <v>51</v>
      </c>
      <c r="D29" s="19">
        <v>3</v>
      </c>
      <c r="E29" s="19">
        <v>0.39</v>
      </c>
      <c r="F29" s="19">
        <v>0.28999999999999998</v>
      </c>
      <c r="G29" s="19">
        <v>0.1</v>
      </c>
      <c r="H29" s="78">
        <v>50</v>
      </c>
      <c r="I29" s="2" t="s">
        <v>52</v>
      </c>
    </row>
    <row r="30" spans="1:9" ht="17.25" customHeight="1" x14ac:dyDescent="0.25">
      <c r="A30" t="s">
        <v>303</v>
      </c>
      <c r="B30" t="s">
        <v>406</v>
      </c>
      <c r="C30" s="182" t="s">
        <v>350</v>
      </c>
      <c r="D30" s="19">
        <v>3</v>
      </c>
      <c r="E30" s="19">
        <v>0.34</v>
      </c>
      <c r="F30" s="19">
        <v>0.34</v>
      </c>
      <c r="G30" s="19">
        <v>0.14000000000000001</v>
      </c>
      <c r="H30" s="78">
        <v>25</v>
      </c>
      <c r="I30" s="2" t="s">
        <v>27</v>
      </c>
    </row>
    <row r="31" spans="1:9" s="211" customFormat="1" ht="15" customHeight="1" x14ac:dyDescent="0.25">
      <c r="A31" t="s">
        <v>303</v>
      </c>
      <c r="B31" t="s">
        <v>407</v>
      </c>
      <c r="C31" s="182" t="s">
        <v>350</v>
      </c>
      <c r="D31" s="19">
        <v>4</v>
      </c>
      <c r="E31" s="19">
        <v>0.38</v>
      </c>
      <c r="F31" s="19">
        <v>0.38</v>
      </c>
      <c r="G31" s="19">
        <v>0.14000000000000001</v>
      </c>
      <c r="H31" s="78">
        <v>50</v>
      </c>
      <c r="I31" s="2" t="s">
        <v>29</v>
      </c>
    </row>
    <row r="32" spans="1:9" s="211" customFormat="1" ht="15" customHeight="1" x14ac:dyDescent="0.25">
      <c r="A32" t="s">
        <v>303</v>
      </c>
      <c r="B32" t="s">
        <v>408</v>
      </c>
      <c r="C32" s="182" t="s">
        <v>56</v>
      </c>
      <c r="D32" s="19">
        <v>10</v>
      </c>
      <c r="E32" s="19">
        <v>0.61</v>
      </c>
      <c r="F32" s="19">
        <v>0.73</v>
      </c>
      <c r="G32" s="19">
        <v>0.17</v>
      </c>
      <c r="H32" s="78">
        <v>50</v>
      </c>
      <c r="I32" s="2" t="s">
        <v>57</v>
      </c>
    </row>
    <row r="33" spans="1:9" s="211" customFormat="1" ht="15" customHeight="1" x14ac:dyDescent="0.25">
      <c r="A33" t="s">
        <v>303</v>
      </c>
      <c r="B33" t="s">
        <v>409</v>
      </c>
      <c r="C33" s="182" t="s">
        <v>58</v>
      </c>
      <c r="D33" s="19">
        <v>3</v>
      </c>
      <c r="E33" s="19">
        <v>0.36</v>
      </c>
      <c r="F33" s="19">
        <v>0.72</v>
      </c>
      <c r="G33" s="19">
        <v>0.17</v>
      </c>
      <c r="H33" s="78">
        <v>50</v>
      </c>
      <c r="I33" s="2">
        <v>800</v>
      </c>
    </row>
    <row r="34" spans="1:9" s="211" customFormat="1" ht="15" customHeight="1" x14ac:dyDescent="0.25">
      <c r="A34" t="s">
        <v>303</v>
      </c>
      <c r="B34" t="s">
        <v>410</v>
      </c>
      <c r="C34" s="182" t="s">
        <v>351</v>
      </c>
      <c r="D34" s="19">
        <v>4</v>
      </c>
      <c r="E34" s="19">
        <v>0.39</v>
      </c>
      <c r="F34" s="19">
        <v>0.39</v>
      </c>
      <c r="G34" s="19">
        <v>0.14000000000000001</v>
      </c>
      <c r="H34" s="78">
        <v>25</v>
      </c>
      <c r="I34" s="2" t="s">
        <v>27</v>
      </c>
    </row>
    <row r="35" spans="1:9" ht="15" customHeight="1" x14ac:dyDescent="0.25">
      <c r="A35" t="s">
        <v>303</v>
      </c>
      <c r="B35" t="s">
        <v>569</v>
      </c>
      <c r="C35" s="182" t="s">
        <v>351</v>
      </c>
      <c r="D35" s="19">
        <v>6</v>
      </c>
      <c r="E35" s="19">
        <v>0.8</v>
      </c>
      <c r="F35" s="19">
        <v>0.4</v>
      </c>
      <c r="G35" s="19">
        <v>0.15</v>
      </c>
      <c r="H35" s="78">
        <v>50</v>
      </c>
      <c r="I35" s="2" t="s">
        <v>29</v>
      </c>
    </row>
    <row r="36" spans="1:9" ht="15" customHeight="1" x14ac:dyDescent="0.25">
      <c r="A36" t="s">
        <v>303</v>
      </c>
      <c r="B36" t="s">
        <v>570</v>
      </c>
      <c r="C36" s="182" t="s">
        <v>352</v>
      </c>
      <c r="D36" s="19">
        <v>5</v>
      </c>
      <c r="E36" s="19">
        <v>0.8</v>
      </c>
      <c r="F36" s="19">
        <v>0.4</v>
      </c>
      <c r="G36" s="19">
        <v>0.14000000000000001</v>
      </c>
      <c r="H36" s="78">
        <v>25</v>
      </c>
      <c r="I36" s="2" t="s">
        <v>29</v>
      </c>
    </row>
    <row r="37" spans="1:9" ht="15" customHeight="1" x14ac:dyDescent="0.25">
      <c r="A37" t="s">
        <v>303</v>
      </c>
      <c r="B37" t="s">
        <v>412</v>
      </c>
      <c r="C37" s="182" t="s">
        <v>353</v>
      </c>
      <c r="D37" s="19">
        <v>7</v>
      </c>
      <c r="E37" s="19">
        <v>0.42</v>
      </c>
      <c r="F37" s="19">
        <v>0.82</v>
      </c>
      <c r="G37" s="19">
        <v>0.15</v>
      </c>
      <c r="H37" s="78">
        <v>25</v>
      </c>
      <c r="I37" s="2" t="s">
        <v>29</v>
      </c>
    </row>
    <row r="38" spans="1:9" s="52" customFormat="1" ht="15" customHeight="1" x14ac:dyDescent="0.25">
      <c r="A38" s="52" t="s">
        <v>303</v>
      </c>
      <c r="B38" s="52" t="s">
        <v>413</v>
      </c>
      <c r="C38" s="210" t="s">
        <v>354</v>
      </c>
      <c r="D38" s="49">
        <v>7</v>
      </c>
      <c r="E38" s="49">
        <v>0.86</v>
      </c>
      <c r="F38" s="49">
        <v>0.42</v>
      </c>
      <c r="G38" s="49">
        <v>0.15</v>
      </c>
      <c r="H38" s="71">
        <v>50</v>
      </c>
      <c r="I38" s="71" t="s">
        <v>65</v>
      </c>
    </row>
    <row r="39" spans="1:9" ht="14.25" customHeight="1" x14ac:dyDescent="0.25">
      <c r="A39" t="s">
        <v>303</v>
      </c>
      <c r="B39" t="s">
        <v>414</v>
      </c>
      <c r="C39" s="182" t="s">
        <v>354</v>
      </c>
      <c r="D39" s="19">
        <v>4.5</v>
      </c>
      <c r="E39" s="19">
        <v>0.44</v>
      </c>
      <c r="F39" s="19">
        <v>0.44</v>
      </c>
      <c r="G39" s="19">
        <v>0.13</v>
      </c>
      <c r="H39" s="78">
        <v>25</v>
      </c>
      <c r="I39" s="2" t="s">
        <v>27</v>
      </c>
    </row>
    <row r="40" spans="1:9" s="52" customFormat="1" ht="15" customHeight="1" x14ac:dyDescent="0.25">
      <c r="A40" s="52" t="s">
        <v>303</v>
      </c>
      <c r="B40" s="52" t="s">
        <v>415</v>
      </c>
      <c r="C40" s="210" t="s">
        <v>355</v>
      </c>
      <c r="D40" s="49">
        <v>10</v>
      </c>
      <c r="E40" s="49">
        <v>0.92</v>
      </c>
      <c r="F40" s="49">
        <v>0.48</v>
      </c>
      <c r="G40" s="49">
        <v>0.15</v>
      </c>
      <c r="H40" s="71">
        <v>50</v>
      </c>
      <c r="I40" s="71" t="s">
        <v>29</v>
      </c>
    </row>
    <row r="41" spans="1:9" ht="15" customHeight="1" x14ac:dyDescent="0.25">
      <c r="A41" t="s">
        <v>303</v>
      </c>
      <c r="B41" t="s">
        <v>416</v>
      </c>
      <c r="C41" s="182" t="s">
        <v>355</v>
      </c>
      <c r="D41" s="19">
        <v>6</v>
      </c>
      <c r="E41" s="19">
        <v>0.49</v>
      </c>
      <c r="F41" s="19">
        <v>0.49</v>
      </c>
      <c r="G41" s="19">
        <v>0.15</v>
      </c>
      <c r="H41" s="78">
        <v>25</v>
      </c>
      <c r="I41" s="2" t="s">
        <v>27</v>
      </c>
    </row>
    <row r="42" spans="1:9" ht="15" customHeight="1" x14ac:dyDescent="0.25">
      <c r="A42" t="s">
        <v>303</v>
      </c>
      <c r="B42" t="s">
        <v>417</v>
      </c>
      <c r="C42" s="182" t="s">
        <v>356</v>
      </c>
      <c r="D42" s="19">
        <v>11</v>
      </c>
      <c r="E42" s="19">
        <v>0.54</v>
      </c>
      <c r="F42" s="19">
        <v>1.08</v>
      </c>
      <c r="G42" s="19">
        <v>0.15</v>
      </c>
      <c r="H42" s="78">
        <v>50</v>
      </c>
      <c r="I42" s="2" t="s">
        <v>29</v>
      </c>
    </row>
    <row r="43" spans="1:9" ht="15" customHeight="1" x14ac:dyDescent="0.25">
      <c r="A43" t="s">
        <v>303</v>
      </c>
      <c r="B43" t="s">
        <v>418</v>
      </c>
      <c r="C43" s="182" t="s">
        <v>356</v>
      </c>
      <c r="D43" s="19">
        <v>7.8</v>
      </c>
      <c r="E43" s="19">
        <v>0.59</v>
      </c>
      <c r="F43" s="19">
        <v>0.59</v>
      </c>
      <c r="G43" s="19">
        <v>0.15</v>
      </c>
      <c r="H43" s="78">
        <v>25</v>
      </c>
      <c r="I43" s="2" t="s">
        <v>27</v>
      </c>
    </row>
    <row r="44" spans="1:9" ht="15" customHeight="1" x14ac:dyDescent="0.25">
      <c r="A44" t="s">
        <v>303</v>
      </c>
      <c r="B44" t="s">
        <v>419</v>
      </c>
      <c r="C44" s="182" t="s">
        <v>67</v>
      </c>
      <c r="D44" s="19">
        <v>4.5</v>
      </c>
      <c r="E44" s="19">
        <v>0.4</v>
      </c>
      <c r="F44" s="19">
        <v>0.4</v>
      </c>
      <c r="G44" s="19">
        <v>0.16</v>
      </c>
      <c r="H44" s="78">
        <v>50</v>
      </c>
      <c r="I44" s="2"/>
    </row>
    <row r="45" spans="1:9" ht="15" customHeight="1" x14ac:dyDescent="0.25">
      <c r="A45" t="s">
        <v>303</v>
      </c>
      <c r="B45" t="s">
        <v>420</v>
      </c>
      <c r="C45" s="182" t="s">
        <v>68</v>
      </c>
      <c r="D45" s="19">
        <v>7</v>
      </c>
      <c r="E45" s="19">
        <v>0.9</v>
      </c>
      <c r="F45" s="19">
        <v>0.46</v>
      </c>
      <c r="G45" s="19">
        <v>0.15</v>
      </c>
      <c r="H45" s="78">
        <v>25</v>
      </c>
      <c r="I45" s="2" t="s">
        <v>29</v>
      </c>
    </row>
    <row r="46" spans="1:9" ht="15" customHeight="1" x14ac:dyDescent="0.25">
      <c r="A46" t="s">
        <v>303</v>
      </c>
      <c r="B46" t="s">
        <v>421</v>
      </c>
      <c r="C46" s="182" t="s">
        <v>69</v>
      </c>
      <c r="D46" s="19">
        <v>6</v>
      </c>
      <c r="E46" s="19">
        <v>0.44</v>
      </c>
      <c r="F46" s="19">
        <v>0.48</v>
      </c>
      <c r="G46" s="19">
        <v>0.18</v>
      </c>
      <c r="H46" s="78">
        <v>50</v>
      </c>
      <c r="I46" s="2"/>
    </row>
    <row r="47" spans="1:9" ht="15" customHeight="1" x14ac:dyDescent="0.25">
      <c r="A47" t="s">
        <v>303</v>
      </c>
      <c r="B47" t="s">
        <v>422</v>
      </c>
      <c r="C47" s="182" t="s">
        <v>70</v>
      </c>
      <c r="D47" s="19">
        <v>10</v>
      </c>
      <c r="E47" s="19" t="s">
        <v>71</v>
      </c>
      <c r="F47" s="19">
        <v>1.1100000000000001</v>
      </c>
      <c r="G47" s="19">
        <v>7.0000000000000007E-2</v>
      </c>
      <c r="H47" s="78">
        <v>25</v>
      </c>
      <c r="I47" s="2" t="s">
        <v>29</v>
      </c>
    </row>
    <row r="48" spans="1:9" ht="15" customHeight="1" x14ac:dyDescent="0.25">
      <c r="A48" t="s">
        <v>303</v>
      </c>
      <c r="B48" t="s">
        <v>423</v>
      </c>
      <c r="C48" s="182" t="s">
        <v>357</v>
      </c>
      <c r="D48" s="19">
        <v>9</v>
      </c>
      <c r="E48" s="19">
        <v>0.82</v>
      </c>
      <c r="F48" s="19">
        <v>0.87</v>
      </c>
      <c r="G48" s="19">
        <v>7.0000000000000007E-2</v>
      </c>
      <c r="H48" s="78">
        <v>25</v>
      </c>
      <c r="I48" s="2" t="s">
        <v>29</v>
      </c>
    </row>
    <row r="49" spans="1:9" ht="15" customHeight="1" x14ac:dyDescent="0.25">
      <c r="A49" t="s">
        <v>303</v>
      </c>
      <c r="B49" t="s">
        <v>424</v>
      </c>
      <c r="C49" s="182" t="s">
        <v>73</v>
      </c>
      <c r="D49" s="19">
        <v>2</v>
      </c>
      <c r="E49" s="19">
        <v>0.19</v>
      </c>
      <c r="F49" s="19">
        <v>0.19</v>
      </c>
      <c r="G49" s="19">
        <v>0.4</v>
      </c>
      <c r="H49" s="78">
        <v>50</v>
      </c>
      <c r="I49" s="2" t="s">
        <v>29</v>
      </c>
    </row>
    <row r="50" spans="1:9" ht="15" customHeight="1" x14ac:dyDescent="0.25">
      <c r="A50" t="s">
        <v>303</v>
      </c>
      <c r="B50" t="s">
        <v>425</v>
      </c>
      <c r="C50" s="182" t="s">
        <v>74</v>
      </c>
      <c r="D50" s="19">
        <v>6</v>
      </c>
      <c r="E50" s="19">
        <v>0.69</v>
      </c>
      <c r="F50" s="19">
        <v>0.39</v>
      </c>
      <c r="G50" s="19">
        <v>0.19</v>
      </c>
      <c r="H50" s="78">
        <v>100</v>
      </c>
      <c r="I50" s="2" t="s">
        <v>29</v>
      </c>
    </row>
    <row r="51" spans="1:9" x14ac:dyDescent="0.25">
      <c r="A51" t="s">
        <v>303</v>
      </c>
      <c r="B51" t="s">
        <v>426</v>
      </c>
      <c r="C51" s="182" t="s">
        <v>358</v>
      </c>
      <c r="D51" s="19">
        <v>10</v>
      </c>
      <c r="E51" s="19">
        <v>0.6</v>
      </c>
      <c r="F51" s="19">
        <v>0.6</v>
      </c>
      <c r="G51" s="19">
        <v>0.14000000000000001</v>
      </c>
      <c r="H51" s="78">
        <v>50</v>
      </c>
      <c r="I51" s="2" t="s">
        <v>27</v>
      </c>
    </row>
    <row r="52" spans="1:9" x14ac:dyDescent="0.25">
      <c r="A52" t="s">
        <v>303</v>
      </c>
      <c r="B52" t="s">
        <v>427</v>
      </c>
      <c r="C52" s="182" t="s">
        <v>76</v>
      </c>
      <c r="D52" s="19">
        <v>10.5</v>
      </c>
      <c r="E52" s="19">
        <v>0.69</v>
      </c>
      <c r="F52" s="19">
        <v>0.69</v>
      </c>
      <c r="G52" s="19">
        <v>0.15</v>
      </c>
      <c r="H52" s="78">
        <v>50</v>
      </c>
      <c r="I52" s="2" t="s">
        <v>27</v>
      </c>
    </row>
    <row r="53" spans="1:9" x14ac:dyDescent="0.25">
      <c r="A53" t="s">
        <v>303</v>
      </c>
      <c r="B53" t="s">
        <v>428</v>
      </c>
      <c r="C53" s="182" t="s">
        <v>77</v>
      </c>
      <c r="D53" s="19">
        <v>5</v>
      </c>
      <c r="E53" s="19">
        <v>0.34</v>
      </c>
      <c r="F53" s="19">
        <v>0.77</v>
      </c>
      <c r="G53" s="19">
        <v>0.17</v>
      </c>
      <c r="H53" s="78">
        <v>50</v>
      </c>
      <c r="I53" s="2" t="s">
        <v>29</v>
      </c>
    </row>
    <row r="54" spans="1:9" x14ac:dyDescent="0.25">
      <c r="A54" t="s">
        <v>303</v>
      </c>
      <c r="B54" t="s">
        <v>429</v>
      </c>
      <c r="C54" s="182" t="s">
        <v>78</v>
      </c>
      <c r="D54" s="19">
        <v>6</v>
      </c>
      <c r="E54" s="19">
        <v>0.62</v>
      </c>
      <c r="F54" s="19">
        <v>0.55000000000000004</v>
      </c>
      <c r="G54" s="19">
        <v>0.17</v>
      </c>
      <c r="H54" s="78">
        <v>50</v>
      </c>
      <c r="I54" s="68" t="s">
        <v>29</v>
      </c>
    </row>
    <row r="55" spans="1:9" x14ac:dyDescent="0.25">
      <c r="A55" t="s">
        <v>303</v>
      </c>
      <c r="B55" t="s">
        <v>430</v>
      </c>
      <c r="C55" s="182" t="s">
        <v>79</v>
      </c>
      <c r="D55" s="19">
        <v>8</v>
      </c>
      <c r="E55" s="19">
        <v>0.6</v>
      </c>
      <c r="F55" s="19">
        <v>0.77</v>
      </c>
      <c r="G55" s="19">
        <v>0.17</v>
      </c>
      <c r="H55" s="78">
        <v>50</v>
      </c>
      <c r="I55" s="2" t="s">
        <v>29</v>
      </c>
    </row>
    <row r="56" spans="1:9" x14ac:dyDescent="0.25">
      <c r="A56" t="s">
        <v>303</v>
      </c>
      <c r="B56" t="s">
        <v>431</v>
      </c>
      <c r="C56" s="182" t="s">
        <v>359</v>
      </c>
      <c r="D56" s="19">
        <v>8</v>
      </c>
      <c r="E56" s="19">
        <v>0.91</v>
      </c>
      <c r="F56" s="19">
        <v>0.91</v>
      </c>
      <c r="G56" s="19">
        <v>0.1</v>
      </c>
      <c r="H56" s="78">
        <v>25</v>
      </c>
      <c r="I56" s="2" t="s">
        <v>27</v>
      </c>
    </row>
    <row r="57" spans="1:9" x14ac:dyDescent="0.25">
      <c r="A57" t="s">
        <v>303</v>
      </c>
      <c r="B57" t="s">
        <v>432</v>
      </c>
      <c r="C57" s="182" t="s">
        <v>81</v>
      </c>
      <c r="D57" s="19">
        <v>3</v>
      </c>
      <c r="E57" s="19">
        <v>0.55000000000000004</v>
      </c>
      <c r="F57" s="19">
        <v>0.55000000000000004</v>
      </c>
      <c r="G57" s="19">
        <v>0.09</v>
      </c>
      <c r="H57" s="78">
        <v>50</v>
      </c>
      <c r="I57" s="2" t="s">
        <v>29</v>
      </c>
    </row>
    <row r="58" spans="1:9" x14ac:dyDescent="0.25">
      <c r="A58" t="s">
        <v>303</v>
      </c>
      <c r="B58" t="s">
        <v>433</v>
      </c>
      <c r="C58" s="182" t="s">
        <v>82</v>
      </c>
      <c r="D58" s="19">
        <v>4.5</v>
      </c>
      <c r="E58" s="19">
        <v>0.42</v>
      </c>
      <c r="F58" s="19">
        <v>0.42</v>
      </c>
      <c r="G58" s="19">
        <v>0.14000000000000001</v>
      </c>
      <c r="H58" s="78">
        <v>25</v>
      </c>
      <c r="I58" s="2"/>
    </row>
    <row r="59" spans="1:9" x14ac:dyDescent="0.25">
      <c r="A59" t="s">
        <v>302</v>
      </c>
      <c r="B59" t="s">
        <v>434</v>
      </c>
      <c r="C59" s="183" t="s">
        <v>85</v>
      </c>
      <c r="D59" s="155">
        <v>3</v>
      </c>
      <c r="E59" s="155">
        <v>0.33</v>
      </c>
      <c r="F59" s="155">
        <v>0.6</v>
      </c>
      <c r="G59" s="155">
        <v>0.17</v>
      </c>
      <c r="H59" s="22">
        <v>50</v>
      </c>
      <c r="I59" s="2"/>
    </row>
    <row r="60" spans="1:9" x14ac:dyDescent="0.25">
      <c r="A60" t="s">
        <v>302</v>
      </c>
      <c r="B60" t="s">
        <v>435</v>
      </c>
      <c r="C60" s="183" t="s">
        <v>86</v>
      </c>
      <c r="D60" s="155">
        <v>5</v>
      </c>
      <c r="E60" s="155">
        <v>0.71</v>
      </c>
      <c r="F60" s="155">
        <v>0.38</v>
      </c>
      <c r="G60" s="155">
        <v>0.15</v>
      </c>
      <c r="H60" s="22">
        <v>50</v>
      </c>
      <c r="I60" s="2" t="s">
        <v>87</v>
      </c>
    </row>
    <row r="61" spans="1:9" x14ac:dyDescent="0.25">
      <c r="A61" t="s">
        <v>302</v>
      </c>
      <c r="B61" t="s">
        <v>436</v>
      </c>
      <c r="C61" s="183" t="s">
        <v>88</v>
      </c>
      <c r="D61" s="155">
        <v>12</v>
      </c>
      <c r="E61" s="155">
        <v>1.1299999999999999</v>
      </c>
      <c r="F61" s="155">
        <v>0.59</v>
      </c>
      <c r="G61" s="155">
        <v>0.17</v>
      </c>
      <c r="H61" s="22">
        <v>50</v>
      </c>
      <c r="I61" s="2" t="s">
        <v>87</v>
      </c>
    </row>
    <row r="62" spans="1:9" x14ac:dyDescent="0.25">
      <c r="A62" t="s">
        <v>302</v>
      </c>
      <c r="B62" t="s">
        <v>437</v>
      </c>
      <c r="C62" s="183" t="s">
        <v>89</v>
      </c>
      <c r="D62" s="155">
        <v>5.9</v>
      </c>
      <c r="E62" s="155">
        <v>0.51</v>
      </c>
      <c r="F62" s="155">
        <v>0.27</v>
      </c>
      <c r="G62" s="155">
        <v>0.18</v>
      </c>
      <c r="H62" s="22">
        <v>100</v>
      </c>
      <c r="I62" s="2" t="s">
        <v>87</v>
      </c>
    </row>
    <row r="63" spans="1:9" x14ac:dyDescent="0.25">
      <c r="A63" t="s">
        <v>302</v>
      </c>
      <c r="B63" t="s">
        <v>438</v>
      </c>
      <c r="C63" s="183" t="s">
        <v>90</v>
      </c>
      <c r="D63" s="155">
        <v>2</v>
      </c>
      <c r="E63" s="155">
        <v>0.49</v>
      </c>
      <c r="F63" s="155">
        <v>0.25</v>
      </c>
      <c r="G63" s="155">
        <v>0.17</v>
      </c>
      <c r="H63" s="22">
        <v>100</v>
      </c>
      <c r="I63" s="2" t="s">
        <v>87</v>
      </c>
    </row>
    <row r="64" spans="1:9" x14ac:dyDescent="0.25">
      <c r="A64" t="s">
        <v>302</v>
      </c>
      <c r="B64" t="s">
        <v>439</v>
      </c>
      <c r="C64" s="183" t="s">
        <v>91</v>
      </c>
      <c r="D64" s="155">
        <v>6.5</v>
      </c>
      <c r="E64" s="155">
        <v>0.51</v>
      </c>
      <c r="F64" s="155">
        <v>0.27</v>
      </c>
      <c r="G64" s="155">
        <v>0.16</v>
      </c>
      <c r="H64" s="22">
        <v>50</v>
      </c>
      <c r="I64" s="2" t="s">
        <v>87</v>
      </c>
    </row>
    <row r="65" spans="1:9" x14ac:dyDescent="0.25">
      <c r="A65" t="s">
        <v>302</v>
      </c>
      <c r="B65" t="s">
        <v>440</v>
      </c>
      <c r="C65" s="183" t="s">
        <v>92</v>
      </c>
      <c r="D65" s="155">
        <v>10.5</v>
      </c>
      <c r="E65" s="155">
        <v>0.95</v>
      </c>
      <c r="F65" s="155">
        <v>0.5</v>
      </c>
      <c r="G65" s="155">
        <v>0.17</v>
      </c>
      <c r="H65" s="22">
        <v>50</v>
      </c>
      <c r="I65" s="2" t="s">
        <v>87</v>
      </c>
    </row>
    <row r="66" spans="1:9" x14ac:dyDescent="0.25">
      <c r="A66" t="s">
        <v>302</v>
      </c>
      <c r="B66" t="s">
        <v>441</v>
      </c>
      <c r="C66" s="183" t="s">
        <v>93</v>
      </c>
      <c r="D66" s="155">
        <v>6</v>
      </c>
      <c r="E66" s="155">
        <v>0.83</v>
      </c>
      <c r="F66" s="155">
        <v>0.44</v>
      </c>
      <c r="G66" s="155">
        <v>0.15</v>
      </c>
      <c r="H66" s="22">
        <v>50</v>
      </c>
      <c r="I66" s="2" t="s">
        <v>87</v>
      </c>
    </row>
    <row r="67" spans="1:9" x14ac:dyDescent="0.25">
      <c r="A67" t="s">
        <v>302</v>
      </c>
      <c r="B67" t="s">
        <v>442</v>
      </c>
      <c r="C67" s="183" t="s">
        <v>94</v>
      </c>
      <c r="D67" s="155">
        <v>5</v>
      </c>
      <c r="E67" s="155">
        <v>0.62</v>
      </c>
      <c r="F67" s="155">
        <v>0.33</v>
      </c>
      <c r="G67" s="155">
        <v>0.19</v>
      </c>
      <c r="H67" s="22">
        <v>50</v>
      </c>
      <c r="I67" s="2" t="s">
        <v>87</v>
      </c>
    </row>
    <row r="68" spans="1:9" x14ac:dyDescent="0.25">
      <c r="A68" t="s">
        <v>302</v>
      </c>
      <c r="B68" t="s">
        <v>443</v>
      </c>
      <c r="C68" s="183" t="s">
        <v>95</v>
      </c>
      <c r="D68" s="155">
        <v>9</v>
      </c>
      <c r="E68" s="155">
        <v>0.93</v>
      </c>
      <c r="F68" s="155">
        <v>0.47</v>
      </c>
      <c r="G68" s="155">
        <v>0.15</v>
      </c>
      <c r="H68" s="22">
        <v>50</v>
      </c>
      <c r="I68" s="2" t="s">
        <v>87</v>
      </c>
    </row>
    <row r="69" spans="1:9" x14ac:dyDescent="0.25">
      <c r="A69" t="s">
        <v>302</v>
      </c>
      <c r="B69" t="s">
        <v>572</v>
      </c>
      <c r="C69" s="183" t="s">
        <v>96</v>
      </c>
      <c r="D69" s="155">
        <v>10</v>
      </c>
      <c r="E69" s="155">
        <v>1</v>
      </c>
      <c r="F69" s="155">
        <v>0.52</v>
      </c>
      <c r="G69" s="155">
        <v>0.17</v>
      </c>
      <c r="H69" s="61">
        <v>50</v>
      </c>
      <c r="I69" s="101" t="s">
        <v>87</v>
      </c>
    </row>
    <row r="70" spans="1:9" s="27" customFormat="1" x14ac:dyDescent="0.25">
      <c r="A70" s="27" t="s">
        <v>304</v>
      </c>
      <c r="B70" t="s">
        <v>444</v>
      </c>
      <c r="C70" s="184" t="s">
        <v>98</v>
      </c>
      <c r="D70" s="156">
        <v>2.5</v>
      </c>
      <c r="E70" s="156">
        <v>0.52</v>
      </c>
      <c r="F70" s="156">
        <v>0.27</v>
      </c>
      <c r="G70" s="156">
        <v>0.19</v>
      </c>
      <c r="H70" s="79">
        <v>25</v>
      </c>
      <c r="I70" s="99"/>
    </row>
    <row r="71" spans="1:9" s="27" customFormat="1" x14ac:dyDescent="0.25">
      <c r="A71" s="27" t="s">
        <v>304</v>
      </c>
      <c r="B71" t="s">
        <v>445</v>
      </c>
      <c r="C71" s="184" t="s">
        <v>99</v>
      </c>
      <c r="D71" s="156">
        <v>3</v>
      </c>
      <c r="E71" s="156">
        <v>0.62</v>
      </c>
      <c r="F71" s="156">
        <v>0.31</v>
      </c>
      <c r="G71" s="156">
        <v>0.19</v>
      </c>
      <c r="H71" s="79">
        <v>25</v>
      </c>
      <c r="I71" s="99"/>
    </row>
    <row r="72" spans="1:9" s="27" customFormat="1" x14ac:dyDescent="0.25">
      <c r="A72" s="27" t="s">
        <v>304</v>
      </c>
      <c r="B72" t="s">
        <v>446</v>
      </c>
      <c r="C72" s="184" t="s">
        <v>100</v>
      </c>
      <c r="D72" s="156">
        <v>4.5</v>
      </c>
      <c r="E72" s="156">
        <v>0.74</v>
      </c>
      <c r="F72" s="156">
        <v>0.36</v>
      </c>
      <c r="G72" s="156">
        <v>0.23</v>
      </c>
      <c r="H72" s="79">
        <v>25</v>
      </c>
      <c r="I72" s="99"/>
    </row>
    <row r="73" spans="1:9" s="27" customFormat="1" x14ac:dyDescent="0.25">
      <c r="A73" s="27" t="s">
        <v>304</v>
      </c>
      <c r="B73" t="s">
        <v>447</v>
      </c>
      <c r="C73" s="184">
        <v>40</v>
      </c>
      <c r="D73" s="156">
        <v>5.2</v>
      </c>
      <c r="E73" s="156">
        <v>0.84</v>
      </c>
      <c r="F73" s="156">
        <v>0.41</v>
      </c>
      <c r="G73" s="156">
        <v>0.23</v>
      </c>
      <c r="H73" s="79">
        <v>25</v>
      </c>
      <c r="I73" s="99"/>
    </row>
    <row r="74" spans="1:9" s="27" customFormat="1" x14ac:dyDescent="0.25">
      <c r="A74" s="27" t="s">
        <v>305</v>
      </c>
      <c r="B74" t="s">
        <v>448</v>
      </c>
      <c r="C74" s="185" t="s">
        <v>360</v>
      </c>
      <c r="D74" s="120">
        <v>5</v>
      </c>
      <c r="E74" s="120">
        <v>0.42</v>
      </c>
      <c r="F74" s="120">
        <v>0.52</v>
      </c>
      <c r="G74" s="157">
        <v>0.14000000000000001</v>
      </c>
      <c r="H74" s="118">
        <v>25</v>
      </c>
      <c r="I74" s="99"/>
    </row>
    <row r="75" spans="1:9" s="27" customFormat="1" x14ac:dyDescent="0.25">
      <c r="A75" s="27" t="s">
        <v>305</v>
      </c>
      <c r="B75" t="s">
        <v>449</v>
      </c>
      <c r="C75" s="185" t="s">
        <v>103</v>
      </c>
      <c r="D75" s="120">
        <v>2</v>
      </c>
      <c r="E75" s="120">
        <v>0.41</v>
      </c>
      <c r="F75" s="120">
        <v>0.41</v>
      </c>
      <c r="G75" s="157">
        <v>0.05</v>
      </c>
      <c r="H75" s="118">
        <v>250</v>
      </c>
      <c r="I75" s="99"/>
    </row>
    <row r="76" spans="1:9" s="27" customFormat="1" x14ac:dyDescent="0.25">
      <c r="A76" s="27" t="s">
        <v>305</v>
      </c>
      <c r="B76" t="s">
        <v>450</v>
      </c>
      <c r="C76" s="185" t="s">
        <v>104</v>
      </c>
      <c r="D76" s="120">
        <v>2</v>
      </c>
      <c r="E76" s="120">
        <v>0.34</v>
      </c>
      <c r="F76" s="120">
        <v>0.37</v>
      </c>
      <c r="G76" s="157">
        <v>0.05</v>
      </c>
      <c r="H76" s="118">
        <v>25</v>
      </c>
      <c r="I76" s="99"/>
    </row>
    <row r="77" spans="1:9" s="27" customFormat="1" x14ac:dyDescent="0.25">
      <c r="A77" s="27" t="s">
        <v>305</v>
      </c>
      <c r="B77" t="s">
        <v>451</v>
      </c>
      <c r="C77" s="185" t="s">
        <v>105</v>
      </c>
      <c r="D77" s="120">
        <v>2</v>
      </c>
      <c r="E77" s="120">
        <v>0.42</v>
      </c>
      <c r="F77" s="120">
        <v>0.46</v>
      </c>
      <c r="G77" s="157">
        <v>0.05</v>
      </c>
      <c r="H77" s="118">
        <v>20</v>
      </c>
      <c r="I77" s="99"/>
    </row>
    <row r="78" spans="1:9" s="27" customFormat="1" x14ac:dyDescent="0.25">
      <c r="A78" s="27" t="s">
        <v>305</v>
      </c>
      <c r="B78" t="s">
        <v>452</v>
      </c>
      <c r="C78" s="185" t="s">
        <v>106</v>
      </c>
      <c r="D78" s="120">
        <v>4</v>
      </c>
      <c r="E78" s="120">
        <v>0.5</v>
      </c>
      <c r="F78" s="120">
        <v>0.43</v>
      </c>
      <c r="G78" s="157">
        <v>0.04</v>
      </c>
      <c r="H78" s="118">
        <v>200</v>
      </c>
      <c r="I78" s="99"/>
    </row>
    <row r="79" spans="1:9" s="27" customFormat="1" x14ac:dyDescent="0.25">
      <c r="A79" s="27" t="s">
        <v>306</v>
      </c>
      <c r="B79" t="s">
        <v>453</v>
      </c>
      <c r="C79" s="186" t="s">
        <v>108</v>
      </c>
      <c r="D79" s="158">
        <v>4.5</v>
      </c>
      <c r="E79" s="158">
        <v>0.45</v>
      </c>
      <c r="F79" s="158">
        <v>0.3</v>
      </c>
      <c r="G79" s="158">
        <v>0.16</v>
      </c>
      <c r="H79" s="77">
        <v>100</v>
      </c>
      <c r="I79" s="99"/>
    </row>
    <row r="80" spans="1:9" s="27" customFormat="1" x14ac:dyDescent="0.25">
      <c r="A80" s="27" t="s">
        <v>306</v>
      </c>
      <c r="B80" t="s">
        <v>454</v>
      </c>
      <c r="C80" s="186" t="s">
        <v>109</v>
      </c>
      <c r="D80" s="158">
        <v>7.5</v>
      </c>
      <c r="E80" s="158">
        <v>0.64</v>
      </c>
      <c r="F80" s="158">
        <v>0.25</v>
      </c>
      <c r="G80" s="158">
        <v>0.06</v>
      </c>
      <c r="H80" s="77">
        <v>100</v>
      </c>
      <c r="I80" s="99"/>
    </row>
    <row r="81" spans="1:9" s="27" customFormat="1" x14ac:dyDescent="0.25">
      <c r="A81" s="27" t="s">
        <v>306</v>
      </c>
      <c r="B81" t="s">
        <v>455</v>
      </c>
      <c r="C81" s="186" t="s">
        <v>110</v>
      </c>
      <c r="D81" s="158">
        <v>5</v>
      </c>
      <c r="E81" s="158">
        <v>0.32</v>
      </c>
      <c r="F81" s="158">
        <v>0.46</v>
      </c>
      <c r="G81" s="159">
        <v>0.17</v>
      </c>
      <c r="H81" s="77">
        <v>50</v>
      </c>
      <c r="I81" s="99"/>
    </row>
    <row r="82" spans="1:9" x14ac:dyDescent="0.25">
      <c r="A82" s="27" t="s">
        <v>307</v>
      </c>
      <c r="B82" t="s">
        <v>456</v>
      </c>
      <c r="C82" s="187" t="s">
        <v>361</v>
      </c>
      <c r="D82" s="39">
        <v>7</v>
      </c>
      <c r="E82" s="39">
        <v>0.76</v>
      </c>
      <c r="F82" s="39">
        <v>0.76</v>
      </c>
      <c r="G82" s="39">
        <v>0.16</v>
      </c>
      <c r="H82" s="38">
        <v>50</v>
      </c>
      <c r="I82" s="70"/>
    </row>
    <row r="83" spans="1:9" x14ac:dyDescent="0.25">
      <c r="A83" s="27" t="s">
        <v>307</v>
      </c>
      <c r="B83" t="s">
        <v>457</v>
      </c>
      <c r="C83" s="187" t="s">
        <v>113</v>
      </c>
      <c r="D83" s="39">
        <v>5</v>
      </c>
      <c r="E83" s="39">
        <v>0.69</v>
      </c>
      <c r="F83" s="39">
        <v>0.69</v>
      </c>
      <c r="G83" s="39">
        <v>7.0000000000000007E-2</v>
      </c>
      <c r="H83" s="38">
        <v>50</v>
      </c>
      <c r="I83" s="70"/>
    </row>
    <row r="84" spans="1:9" x14ac:dyDescent="0.25">
      <c r="A84" s="27" t="s">
        <v>307</v>
      </c>
      <c r="B84" t="s">
        <v>458</v>
      </c>
      <c r="C84" s="187" t="s">
        <v>362</v>
      </c>
      <c r="D84" s="39">
        <v>5</v>
      </c>
      <c r="E84" s="39">
        <v>0.7</v>
      </c>
      <c r="F84" s="39">
        <v>0.7</v>
      </c>
      <c r="G84" s="39">
        <v>0.09</v>
      </c>
      <c r="H84" s="38">
        <v>50</v>
      </c>
      <c r="I84" s="70"/>
    </row>
    <row r="85" spans="1:9" x14ac:dyDescent="0.25">
      <c r="A85" s="27" t="s">
        <v>307</v>
      </c>
      <c r="B85" t="s">
        <v>459</v>
      </c>
      <c r="C85" s="187" t="s">
        <v>363</v>
      </c>
      <c r="D85" s="39">
        <v>9</v>
      </c>
      <c r="E85" s="39">
        <v>1.22</v>
      </c>
      <c r="F85" s="39">
        <v>0.67</v>
      </c>
      <c r="G85" s="39">
        <v>0.14000000000000001</v>
      </c>
      <c r="H85" s="38">
        <v>25</v>
      </c>
      <c r="I85" s="70"/>
    </row>
    <row r="86" spans="1:9" x14ac:dyDescent="0.25">
      <c r="A86" s="27" t="s">
        <v>307</v>
      </c>
      <c r="B86" t="s">
        <v>460</v>
      </c>
      <c r="C86" s="187" t="s">
        <v>116</v>
      </c>
      <c r="D86" s="39">
        <v>8</v>
      </c>
      <c r="E86" s="39">
        <v>0.61</v>
      </c>
      <c r="F86" s="39">
        <v>0.61</v>
      </c>
      <c r="G86" s="39">
        <v>0.09</v>
      </c>
      <c r="H86" s="38">
        <v>50</v>
      </c>
      <c r="I86" s="70"/>
    </row>
    <row r="87" spans="1:9" x14ac:dyDescent="0.25">
      <c r="A87" s="27" t="s">
        <v>307</v>
      </c>
      <c r="B87" t="s">
        <v>461</v>
      </c>
      <c r="C87" s="187" t="s">
        <v>364</v>
      </c>
      <c r="D87" s="39">
        <v>5.5</v>
      </c>
      <c r="E87" s="39">
        <v>1</v>
      </c>
      <c r="F87" s="39">
        <v>0.54</v>
      </c>
      <c r="G87" s="39">
        <v>0.12</v>
      </c>
      <c r="H87" s="38">
        <v>25</v>
      </c>
      <c r="I87" s="70"/>
    </row>
    <row r="88" spans="1:9" x14ac:dyDescent="0.25">
      <c r="A88" s="27" t="s">
        <v>307</v>
      </c>
      <c r="B88" t="s">
        <v>462</v>
      </c>
      <c r="C88" s="187" t="s">
        <v>365</v>
      </c>
      <c r="D88" s="39">
        <v>5</v>
      </c>
      <c r="E88" s="39">
        <v>0.56000000000000005</v>
      </c>
      <c r="F88" s="39">
        <v>0.71</v>
      </c>
      <c r="G88" s="39">
        <v>0.23</v>
      </c>
      <c r="H88" s="38">
        <v>25</v>
      </c>
      <c r="I88" s="2" t="s">
        <v>29</v>
      </c>
    </row>
    <row r="89" spans="1:9" x14ac:dyDescent="0.25">
      <c r="A89" s="27" t="s">
        <v>307</v>
      </c>
      <c r="B89" t="s">
        <v>463</v>
      </c>
      <c r="C89" s="187" t="s">
        <v>366</v>
      </c>
      <c r="D89" s="39">
        <v>4</v>
      </c>
      <c r="E89" s="39">
        <v>0.55000000000000004</v>
      </c>
      <c r="F89" s="39">
        <v>0.6</v>
      </c>
      <c r="G89" s="39">
        <v>0.09</v>
      </c>
      <c r="H89" s="38">
        <v>100</v>
      </c>
      <c r="I89" s="2"/>
    </row>
    <row r="90" spans="1:9" x14ac:dyDescent="0.25">
      <c r="A90" s="27" t="s">
        <v>307</v>
      </c>
      <c r="B90" t="s">
        <v>464</v>
      </c>
      <c r="C90" s="187" t="s">
        <v>367</v>
      </c>
      <c r="D90" s="39">
        <v>4.5</v>
      </c>
      <c r="E90" s="39">
        <v>0.91</v>
      </c>
      <c r="F90" s="39">
        <v>0.5</v>
      </c>
      <c r="G90" s="39">
        <v>7.0000000000000007E-2</v>
      </c>
      <c r="H90" s="38">
        <v>50</v>
      </c>
      <c r="I90" s="70"/>
    </row>
    <row r="91" spans="1:9" x14ac:dyDescent="0.25">
      <c r="A91" s="27" t="s">
        <v>307</v>
      </c>
      <c r="B91" t="s">
        <v>465</v>
      </c>
      <c r="C91" s="187" t="s">
        <v>368</v>
      </c>
      <c r="D91" s="39">
        <v>6</v>
      </c>
      <c r="E91" s="39">
        <v>1.03</v>
      </c>
      <c r="F91" s="39">
        <v>0.56999999999999995</v>
      </c>
      <c r="G91" s="39">
        <v>7.0000000000000007E-2</v>
      </c>
      <c r="H91" s="38">
        <v>25</v>
      </c>
      <c r="I91" s="70"/>
    </row>
    <row r="92" spans="1:9" x14ac:dyDescent="0.25">
      <c r="A92" s="27" t="s">
        <v>307</v>
      </c>
      <c r="B92" t="s">
        <v>466</v>
      </c>
      <c r="C92" s="187" t="s">
        <v>369</v>
      </c>
      <c r="D92" s="39">
        <v>7.5</v>
      </c>
      <c r="E92" s="39">
        <v>0.65</v>
      </c>
      <c r="F92" s="39">
        <v>1.0900000000000001</v>
      </c>
      <c r="G92" s="39">
        <v>7.0000000000000007E-2</v>
      </c>
      <c r="H92" s="38">
        <v>25</v>
      </c>
      <c r="I92" s="70"/>
    </row>
    <row r="93" spans="1:9" x14ac:dyDescent="0.25">
      <c r="A93" s="27" t="s">
        <v>307</v>
      </c>
      <c r="B93" t="s">
        <v>467</v>
      </c>
      <c r="C93" s="187" t="s">
        <v>123</v>
      </c>
      <c r="D93" s="39">
        <v>7</v>
      </c>
      <c r="E93" s="39">
        <v>0.6</v>
      </c>
      <c r="F93" s="39">
        <v>0.6</v>
      </c>
      <c r="G93" s="39">
        <v>0.09</v>
      </c>
      <c r="H93" s="38">
        <v>50</v>
      </c>
      <c r="I93" s="70"/>
    </row>
    <row r="94" spans="1:9" x14ac:dyDescent="0.25">
      <c r="A94" s="27" t="s">
        <v>307</v>
      </c>
      <c r="B94" t="s">
        <v>468</v>
      </c>
      <c r="C94" s="187" t="s">
        <v>124</v>
      </c>
      <c r="D94" s="39">
        <v>6</v>
      </c>
      <c r="E94" s="39">
        <v>0</v>
      </c>
      <c r="F94" s="39">
        <v>0</v>
      </c>
      <c r="G94" s="39">
        <v>0</v>
      </c>
      <c r="H94" s="38">
        <v>50</v>
      </c>
      <c r="I94" s="70"/>
    </row>
    <row r="95" spans="1:9" x14ac:dyDescent="0.25">
      <c r="A95" s="27" t="s">
        <v>307</v>
      </c>
      <c r="B95" t="s">
        <v>469</v>
      </c>
      <c r="C95" s="187" t="s">
        <v>125</v>
      </c>
      <c r="D95" s="39">
        <v>6.5</v>
      </c>
      <c r="E95" s="39">
        <v>1.04</v>
      </c>
      <c r="F95" s="39">
        <v>0.56999999999999995</v>
      </c>
      <c r="G95" s="39">
        <v>0.08</v>
      </c>
      <c r="H95" s="38">
        <v>50</v>
      </c>
      <c r="I95" s="70"/>
    </row>
    <row r="96" spans="1:9" x14ac:dyDescent="0.25">
      <c r="A96" s="27" t="s">
        <v>307</v>
      </c>
      <c r="B96" t="s">
        <v>470</v>
      </c>
      <c r="C96" s="187" t="s">
        <v>126</v>
      </c>
      <c r="D96" s="39">
        <v>12</v>
      </c>
      <c r="E96" s="39">
        <v>0.83</v>
      </c>
      <c r="F96" s="39">
        <v>0.56000000000000005</v>
      </c>
      <c r="G96" s="39">
        <v>0.15</v>
      </c>
      <c r="H96" s="38">
        <v>25</v>
      </c>
      <c r="I96" s="70"/>
    </row>
    <row r="97" spans="1:9" x14ac:dyDescent="0.25">
      <c r="A97" s="27" t="s">
        <v>307</v>
      </c>
      <c r="B97" t="s">
        <v>471</v>
      </c>
      <c r="C97" s="187" t="s">
        <v>370</v>
      </c>
      <c r="D97" s="39">
        <v>10</v>
      </c>
      <c r="E97" s="39">
        <v>1.28</v>
      </c>
      <c r="F97" s="39">
        <v>0.77</v>
      </c>
      <c r="G97" s="39">
        <v>7.0000000000000007E-2</v>
      </c>
      <c r="H97" s="38">
        <v>50</v>
      </c>
      <c r="I97" s="70"/>
    </row>
    <row r="98" spans="1:9" x14ac:dyDescent="0.25">
      <c r="A98" s="27" t="s">
        <v>308</v>
      </c>
      <c r="B98" t="s">
        <v>472</v>
      </c>
      <c r="C98" s="188" t="s">
        <v>129</v>
      </c>
      <c r="D98" s="160">
        <v>7</v>
      </c>
      <c r="E98" s="160">
        <v>0.61</v>
      </c>
      <c r="F98" s="160">
        <v>0.49</v>
      </c>
      <c r="G98" s="160">
        <v>0.16</v>
      </c>
      <c r="H98" s="65">
        <v>50</v>
      </c>
      <c r="I98" s="70"/>
    </row>
    <row r="99" spans="1:9" x14ac:dyDescent="0.25">
      <c r="A99" s="27" t="s">
        <v>309</v>
      </c>
      <c r="B99" t="s">
        <v>473</v>
      </c>
      <c r="C99" s="189" t="s">
        <v>131</v>
      </c>
      <c r="D99" s="161">
        <v>4</v>
      </c>
      <c r="E99" s="161">
        <v>0.41</v>
      </c>
      <c r="F99" s="161">
        <v>0.34</v>
      </c>
      <c r="G99" s="161">
        <v>0.17</v>
      </c>
      <c r="H99" s="117">
        <v>50</v>
      </c>
      <c r="I99" s="70"/>
    </row>
    <row r="100" spans="1:9" x14ac:dyDescent="0.25">
      <c r="A100" s="27" t="s">
        <v>310</v>
      </c>
      <c r="B100" t="s">
        <v>474</v>
      </c>
      <c r="C100" s="190" t="s">
        <v>133</v>
      </c>
      <c r="D100" s="162">
        <v>3</v>
      </c>
      <c r="E100" s="162">
        <v>1.18</v>
      </c>
      <c r="F100" s="162">
        <v>0.23</v>
      </c>
      <c r="G100" s="162">
        <v>0.14000000000000001</v>
      </c>
      <c r="H100" s="66">
        <v>10</v>
      </c>
      <c r="I100" s="70"/>
    </row>
    <row r="101" spans="1:9" x14ac:dyDescent="0.25">
      <c r="A101" s="27" t="s">
        <v>310</v>
      </c>
      <c r="B101" t="s">
        <v>468</v>
      </c>
      <c r="C101" s="190" t="s">
        <v>134</v>
      </c>
      <c r="D101" s="162">
        <v>0</v>
      </c>
      <c r="E101" s="162">
        <v>0</v>
      </c>
      <c r="F101" s="162">
        <v>0</v>
      </c>
      <c r="G101" s="162">
        <v>0</v>
      </c>
      <c r="H101" s="66">
        <v>25</v>
      </c>
      <c r="I101" s="2" t="s">
        <v>29</v>
      </c>
    </row>
    <row r="102" spans="1:9" x14ac:dyDescent="0.25">
      <c r="A102" s="27" t="s">
        <v>311</v>
      </c>
      <c r="B102" t="s">
        <v>475</v>
      </c>
      <c r="C102" s="191" t="s">
        <v>136</v>
      </c>
      <c r="D102" s="50">
        <v>6</v>
      </c>
      <c r="E102" s="50">
        <v>0.21</v>
      </c>
      <c r="F102" s="50">
        <v>0.2</v>
      </c>
      <c r="G102" s="50">
        <v>0.13</v>
      </c>
      <c r="H102" s="72">
        <v>25</v>
      </c>
      <c r="I102" s="70"/>
    </row>
    <row r="103" spans="1:9" x14ac:dyDescent="0.25">
      <c r="A103" s="27" t="s">
        <v>311</v>
      </c>
      <c r="B103" t="s">
        <v>476</v>
      </c>
      <c r="C103" s="191" t="s">
        <v>137</v>
      </c>
      <c r="D103" s="50">
        <v>6</v>
      </c>
      <c r="E103" s="50">
        <v>0.46</v>
      </c>
      <c r="F103" s="50">
        <v>0.46</v>
      </c>
      <c r="G103" s="50">
        <v>0.16</v>
      </c>
      <c r="H103" s="72">
        <v>25</v>
      </c>
      <c r="I103" s="70"/>
    </row>
    <row r="104" spans="1:9" x14ac:dyDescent="0.25">
      <c r="A104" s="27" t="s">
        <v>311</v>
      </c>
      <c r="B104" t="s">
        <v>477</v>
      </c>
      <c r="C104" s="191" t="s">
        <v>138</v>
      </c>
      <c r="D104" s="50">
        <v>8</v>
      </c>
      <c r="E104" s="50">
        <v>0.5</v>
      </c>
      <c r="F104" s="50">
        <v>0.51</v>
      </c>
      <c r="G104" s="50">
        <v>0.16</v>
      </c>
      <c r="H104" s="72">
        <v>20</v>
      </c>
      <c r="I104" s="70"/>
    </row>
    <row r="105" spans="1:9" x14ac:dyDescent="0.25">
      <c r="A105" s="27" t="s">
        <v>311</v>
      </c>
      <c r="B105" t="s">
        <v>478</v>
      </c>
      <c r="C105" s="191" t="s">
        <v>139</v>
      </c>
      <c r="D105" s="50">
        <v>4</v>
      </c>
      <c r="E105" s="50">
        <v>0.61</v>
      </c>
      <c r="F105" s="50">
        <v>0.52</v>
      </c>
      <c r="G105" s="50">
        <v>0.15</v>
      </c>
      <c r="H105" s="72">
        <v>20</v>
      </c>
      <c r="I105" s="70"/>
    </row>
    <row r="106" spans="1:9" x14ac:dyDescent="0.25">
      <c r="A106" s="27" t="s">
        <v>312</v>
      </c>
      <c r="B106" t="s">
        <v>479</v>
      </c>
      <c r="C106" s="192" t="s">
        <v>141</v>
      </c>
      <c r="D106" s="163">
        <v>5</v>
      </c>
      <c r="E106" s="163">
        <v>0.72</v>
      </c>
      <c r="F106" s="163">
        <v>0.44</v>
      </c>
      <c r="G106" s="163">
        <v>0.15</v>
      </c>
      <c r="H106" s="74">
        <v>50</v>
      </c>
      <c r="I106" s="2" t="s">
        <v>29</v>
      </c>
    </row>
    <row r="107" spans="1:9" x14ac:dyDescent="0.25">
      <c r="A107" s="27" t="s">
        <v>312</v>
      </c>
      <c r="B107" t="s">
        <v>480</v>
      </c>
      <c r="C107" s="192" t="s">
        <v>142</v>
      </c>
      <c r="D107" s="163">
        <v>3</v>
      </c>
      <c r="E107" s="163">
        <v>0.21</v>
      </c>
      <c r="F107" s="163">
        <v>0.3</v>
      </c>
      <c r="G107" s="163">
        <v>0.12</v>
      </c>
      <c r="H107" s="74">
        <v>100</v>
      </c>
      <c r="I107" s="70"/>
    </row>
    <row r="108" spans="1:9" x14ac:dyDescent="0.25">
      <c r="A108" s="27" t="s">
        <v>313</v>
      </c>
      <c r="B108" t="s">
        <v>481</v>
      </c>
      <c r="C108" s="193" t="s">
        <v>144</v>
      </c>
      <c r="D108" s="164">
        <v>5</v>
      </c>
      <c r="E108" s="164">
        <v>0.28999999999999998</v>
      </c>
      <c r="F108" s="164">
        <v>0.28999999999999998</v>
      </c>
      <c r="G108" s="164">
        <v>0.15</v>
      </c>
      <c r="H108" s="75">
        <v>50</v>
      </c>
      <c r="I108" s="69"/>
    </row>
    <row r="109" spans="1:9" x14ac:dyDescent="0.25">
      <c r="A109" s="27" t="s">
        <v>313</v>
      </c>
      <c r="B109" t="s">
        <v>482</v>
      </c>
      <c r="C109" s="193" t="s">
        <v>145</v>
      </c>
      <c r="D109" s="164">
        <v>4</v>
      </c>
      <c r="E109" s="164">
        <v>0.63</v>
      </c>
      <c r="F109" s="164">
        <v>0.36</v>
      </c>
      <c r="G109" s="164">
        <v>0.17</v>
      </c>
      <c r="H109" s="75">
        <v>100</v>
      </c>
      <c r="I109" s="69"/>
    </row>
    <row r="110" spans="1:9" x14ac:dyDescent="0.25">
      <c r="A110" s="27" t="s">
        <v>313</v>
      </c>
      <c r="B110" t="s">
        <v>483</v>
      </c>
      <c r="C110" s="193" t="s">
        <v>146</v>
      </c>
      <c r="D110" s="164">
        <v>4</v>
      </c>
      <c r="E110" s="164">
        <v>0.49</v>
      </c>
      <c r="F110" s="164">
        <v>0.55000000000000004</v>
      </c>
      <c r="G110" s="164">
        <v>0.16</v>
      </c>
      <c r="H110" s="75">
        <v>50</v>
      </c>
      <c r="I110" s="69" t="s">
        <v>147</v>
      </c>
    </row>
    <row r="111" spans="1:9" x14ac:dyDescent="0.25">
      <c r="A111" s="27" t="s">
        <v>313</v>
      </c>
      <c r="B111" t="s">
        <v>484</v>
      </c>
      <c r="C111" s="193" t="s">
        <v>148</v>
      </c>
      <c r="D111" s="164">
        <v>4</v>
      </c>
      <c r="E111" s="164">
        <v>0.47</v>
      </c>
      <c r="F111" s="164">
        <v>0.28999999999999998</v>
      </c>
      <c r="G111" s="164">
        <v>0.18</v>
      </c>
      <c r="H111" s="75">
        <v>100</v>
      </c>
      <c r="I111" s="69" t="s">
        <v>149</v>
      </c>
    </row>
    <row r="112" spans="1:9" x14ac:dyDescent="0.25">
      <c r="A112" s="27" t="s">
        <v>313</v>
      </c>
      <c r="B112" t="s">
        <v>485</v>
      </c>
      <c r="C112" s="193" t="s">
        <v>150</v>
      </c>
      <c r="D112" s="164">
        <v>4</v>
      </c>
      <c r="E112" s="164">
        <v>0.49</v>
      </c>
      <c r="F112" s="164">
        <v>0.49</v>
      </c>
      <c r="G112" s="164">
        <v>0.18</v>
      </c>
      <c r="H112" s="75">
        <v>50</v>
      </c>
      <c r="I112" s="69"/>
    </row>
    <row r="113" spans="1:9" x14ac:dyDescent="0.25">
      <c r="A113" s="27" t="s">
        <v>314</v>
      </c>
      <c r="B113" t="s">
        <v>486</v>
      </c>
      <c r="C113" s="194" t="s">
        <v>152</v>
      </c>
      <c r="D113" s="42">
        <v>1.5</v>
      </c>
      <c r="E113" s="42">
        <v>0.26</v>
      </c>
      <c r="F113" s="42">
        <v>0.5</v>
      </c>
      <c r="G113" s="42">
        <v>0.14000000000000001</v>
      </c>
      <c r="H113" s="67">
        <v>200</v>
      </c>
      <c r="I113" s="70"/>
    </row>
    <row r="114" spans="1:9" x14ac:dyDescent="0.25">
      <c r="A114" s="27" t="s">
        <v>314</v>
      </c>
      <c r="B114" t="s">
        <v>487</v>
      </c>
      <c r="C114" s="194" t="s">
        <v>153</v>
      </c>
      <c r="D114" s="42">
        <v>2</v>
      </c>
      <c r="E114" s="42">
        <v>0.31</v>
      </c>
      <c r="F114" s="42">
        <v>0.6</v>
      </c>
      <c r="G114" s="42">
        <v>0.14000000000000001</v>
      </c>
      <c r="H114" s="67">
        <v>200</v>
      </c>
      <c r="I114" s="70"/>
    </row>
    <row r="115" spans="1:9" x14ac:dyDescent="0.25">
      <c r="A115" s="27" t="s">
        <v>314</v>
      </c>
      <c r="B115" t="s">
        <v>488</v>
      </c>
      <c r="C115" s="194" t="s">
        <v>154</v>
      </c>
      <c r="D115" s="42">
        <v>3</v>
      </c>
      <c r="E115" s="42">
        <v>0.36</v>
      </c>
      <c r="F115" s="42">
        <v>0.7</v>
      </c>
      <c r="G115" s="42">
        <v>0.16</v>
      </c>
      <c r="H115" s="67">
        <v>200</v>
      </c>
      <c r="I115" s="70"/>
    </row>
    <row r="116" spans="1:9" x14ac:dyDescent="0.25">
      <c r="A116" s="27" t="s">
        <v>314</v>
      </c>
      <c r="B116" t="s">
        <v>489</v>
      </c>
      <c r="C116" s="194" t="s">
        <v>155</v>
      </c>
      <c r="D116" s="42">
        <v>4</v>
      </c>
      <c r="E116" s="42">
        <v>0.41</v>
      </c>
      <c r="F116" s="42">
        <v>0.8</v>
      </c>
      <c r="G116" s="42">
        <v>0.16</v>
      </c>
      <c r="H116" s="67">
        <v>200</v>
      </c>
      <c r="I116" s="70"/>
    </row>
    <row r="117" spans="1:9" x14ac:dyDescent="0.25">
      <c r="A117" s="27" t="s">
        <v>315</v>
      </c>
      <c r="B117" t="s">
        <v>490</v>
      </c>
      <c r="C117" s="195" t="s">
        <v>157</v>
      </c>
      <c r="D117" s="165">
        <v>8</v>
      </c>
      <c r="E117" s="165">
        <v>0.76</v>
      </c>
      <c r="F117" s="165">
        <v>0.46</v>
      </c>
      <c r="G117" s="165">
        <v>0.17</v>
      </c>
      <c r="H117" s="43">
        <v>100</v>
      </c>
      <c r="I117" s="70"/>
    </row>
    <row r="118" spans="1:9" x14ac:dyDescent="0.25">
      <c r="A118" s="27" t="s">
        <v>315</v>
      </c>
      <c r="B118" t="s">
        <v>491</v>
      </c>
      <c r="C118" s="195" t="s">
        <v>158</v>
      </c>
      <c r="D118" s="165">
        <v>3</v>
      </c>
      <c r="E118" s="165">
        <v>0.27</v>
      </c>
      <c r="F118" s="165">
        <v>0.59</v>
      </c>
      <c r="G118" s="165">
        <v>0.15</v>
      </c>
      <c r="H118" s="43">
        <v>100</v>
      </c>
      <c r="I118" s="70"/>
    </row>
    <row r="119" spans="1:9" x14ac:dyDescent="0.25">
      <c r="A119" s="27" t="s">
        <v>315</v>
      </c>
      <c r="B119" t="s">
        <v>492</v>
      </c>
      <c r="C119" s="195" t="s">
        <v>159</v>
      </c>
      <c r="D119" s="165">
        <v>5</v>
      </c>
      <c r="E119" s="165">
        <v>0.78</v>
      </c>
      <c r="F119" s="165">
        <v>0.37</v>
      </c>
      <c r="G119" s="165">
        <v>0.17</v>
      </c>
      <c r="H119" s="43">
        <v>50</v>
      </c>
      <c r="I119" s="70"/>
    </row>
    <row r="120" spans="1:9" x14ac:dyDescent="0.25">
      <c r="A120" s="27" t="s">
        <v>315</v>
      </c>
      <c r="B120" t="s">
        <v>493</v>
      </c>
      <c r="C120" s="195" t="s">
        <v>160</v>
      </c>
      <c r="D120" s="165">
        <v>5</v>
      </c>
      <c r="E120" s="165">
        <v>0.97</v>
      </c>
      <c r="F120" s="165">
        <v>0.38</v>
      </c>
      <c r="G120" s="165">
        <v>0.13</v>
      </c>
      <c r="H120" s="43">
        <v>50</v>
      </c>
      <c r="I120" s="70"/>
    </row>
    <row r="121" spans="1:9" x14ac:dyDescent="0.25">
      <c r="A121" s="27" t="s">
        <v>315</v>
      </c>
      <c r="B121" t="s">
        <v>494</v>
      </c>
      <c r="C121" s="195" t="s">
        <v>161</v>
      </c>
      <c r="D121" s="165">
        <v>4</v>
      </c>
      <c r="E121" s="165">
        <v>0.64</v>
      </c>
      <c r="F121" s="165">
        <v>0.34</v>
      </c>
      <c r="G121" s="165">
        <v>0.17</v>
      </c>
      <c r="H121" s="43">
        <v>50</v>
      </c>
      <c r="I121" s="70"/>
    </row>
    <row r="122" spans="1:9" x14ac:dyDescent="0.25">
      <c r="A122" s="27" t="s">
        <v>315</v>
      </c>
      <c r="B122" t="s">
        <v>495</v>
      </c>
      <c r="C122" s="195" t="s">
        <v>162</v>
      </c>
      <c r="D122" s="165">
        <v>10</v>
      </c>
      <c r="E122" s="165">
        <v>0.41</v>
      </c>
      <c r="F122" s="165">
        <v>0.9</v>
      </c>
      <c r="G122" s="165">
        <v>0.16</v>
      </c>
      <c r="H122" s="43">
        <v>100</v>
      </c>
      <c r="I122" s="70"/>
    </row>
    <row r="123" spans="1:9" x14ac:dyDescent="0.25">
      <c r="A123" s="27" t="s">
        <v>316</v>
      </c>
      <c r="B123" t="s">
        <v>496</v>
      </c>
      <c r="C123" s="196" t="s">
        <v>163</v>
      </c>
      <c r="D123" s="166">
        <v>4</v>
      </c>
      <c r="E123" s="166">
        <v>0.76</v>
      </c>
      <c r="F123" s="166">
        <v>0.28000000000000003</v>
      </c>
      <c r="G123" s="166">
        <v>0.15</v>
      </c>
      <c r="H123" s="76">
        <v>20</v>
      </c>
      <c r="I123" s="2" t="s">
        <v>29</v>
      </c>
    </row>
    <row r="124" spans="1:9" x14ac:dyDescent="0.25">
      <c r="A124" s="27" t="s">
        <v>316</v>
      </c>
      <c r="B124" t="s">
        <v>497</v>
      </c>
      <c r="C124" s="196" t="s">
        <v>164</v>
      </c>
      <c r="D124" s="166">
        <v>4.5</v>
      </c>
      <c r="E124" s="166">
        <v>0.83</v>
      </c>
      <c r="F124" s="166">
        <v>0.28000000000000003</v>
      </c>
      <c r="G124" s="166">
        <v>0.15</v>
      </c>
      <c r="H124" s="76">
        <v>100</v>
      </c>
      <c r="I124" s="2" t="s">
        <v>29</v>
      </c>
    </row>
    <row r="125" spans="1:9" x14ac:dyDescent="0.25">
      <c r="A125" s="27" t="s">
        <v>316</v>
      </c>
      <c r="B125" t="s">
        <v>498</v>
      </c>
      <c r="C125" s="196" t="s">
        <v>74</v>
      </c>
      <c r="D125" s="166">
        <v>10</v>
      </c>
      <c r="E125" s="166">
        <v>0.69</v>
      </c>
      <c r="F125" s="166">
        <v>0.4</v>
      </c>
      <c r="G125" s="166">
        <v>0.17</v>
      </c>
      <c r="H125" s="76">
        <v>50</v>
      </c>
      <c r="I125" s="2" t="s">
        <v>29</v>
      </c>
    </row>
    <row r="126" spans="1:9" x14ac:dyDescent="0.25">
      <c r="A126" s="27" t="s">
        <v>316</v>
      </c>
      <c r="B126" t="s">
        <v>499</v>
      </c>
      <c r="C126" s="196" t="s">
        <v>79</v>
      </c>
      <c r="D126" s="166">
        <v>9</v>
      </c>
      <c r="E126" s="166">
        <v>0.77</v>
      </c>
      <c r="F126" s="166">
        <v>0.59</v>
      </c>
      <c r="G126" s="166">
        <v>0.1</v>
      </c>
      <c r="H126" s="76">
        <v>50</v>
      </c>
      <c r="I126" s="2" t="s">
        <v>29</v>
      </c>
    </row>
    <row r="127" spans="1:9" x14ac:dyDescent="0.25">
      <c r="A127" s="27" t="s">
        <v>316</v>
      </c>
      <c r="B127" t="s">
        <v>500</v>
      </c>
      <c r="C127" s="196" t="s">
        <v>165</v>
      </c>
      <c r="D127" s="166">
        <v>10</v>
      </c>
      <c r="E127" s="166">
        <v>0.55000000000000004</v>
      </c>
      <c r="F127" s="166">
        <v>1.06</v>
      </c>
      <c r="G127" s="166">
        <v>0.08</v>
      </c>
      <c r="H127" s="76">
        <v>50</v>
      </c>
      <c r="I127" s="2"/>
    </row>
    <row r="128" spans="1:9" x14ac:dyDescent="0.25">
      <c r="A128" s="27" t="s">
        <v>316</v>
      </c>
      <c r="B128" t="s">
        <v>501</v>
      </c>
      <c r="C128" s="196" t="s">
        <v>166</v>
      </c>
      <c r="D128" s="166">
        <v>8</v>
      </c>
      <c r="E128" s="166">
        <v>0.57999999999999996</v>
      </c>
      <c r="F128" s="166">
        <v>0.77</v>
      </c>
      <c r="G128" s="166">
        <v>0.2</v>
      </c>
      <c r="H128" s="76">
        <v>50</v>
      </c>
      <c r="I128" s="2"/>
    </row>
    <row r="129" spans="1:9" x14ac:dyDescent="0.25">
      <c r="A129" s="27" t="s">
        <v>316</v>
      </c>
      <c r="B129" t="s">
        <v>502</v>
      </c>
      <c r="C129" s="196" t="s">
        <v>167</v>
      </c>
      <c r="D129" s="166">
        <v>8</v>
      </c>
      <c r="E129" s="166">
        <v>0.48</v>
      </c>
      <c r="F129" s="166">
        <v>0.38</v>
      </c>
      <c r="G129" s="166">
        <v>0.17</v>
      </c>
      <c r="H129" s="76">
        <v>100</v>
      </c>
      <c r="I129" s="2"/>
    </row>
    <row r="130" spans="1:9" x14ac:dyDescent="0.25">
      <c r="A130" s="27" t="s">
        <v>317</v>
      </c>
      <c r="B130" t="s">
        <v>503</v>
      </c>
      <c r="C130" s="197" t="s">
        <v>169</v>
      </c>
      <c r="D130" s="45">
        <v>8</v>
      </c>
      <c r="E130" s="45">
        <v>0.9</v>
      </c>
      <c r="F130" s="45">
        <v>0.47</v>
      </c>
      <c r="G130" s="45">
        <v>0.16</v>
      </c>
      <c r="H130" s="44">
        <v>200</v>
      </c>
      <c r="I130" s="70"/>
    </row>
    <row r="131" spans="1:9" x14ac:dyDescent="0.25">
      <c r="A131" s="27" t="s">
        <v>317</v>
      </c>
      <c r="B131" t="s">
        <v>504</v>
      </c>
      <c r="C131" s="197" t="s">
        <v>170</v>
      </c>
      <c r="D131" s="45">
        <v>2</v>
      </c>
      <c r="E131" s="45">
        <v>0.37</v>
      </c>
      <c r="F131" s="45">
        <v>0.12</v>
      </c>
      <c r="G131" s="45">
        <v>0.05</v>
      </c>
      <c r="H131" s="44">
        <v>1000</v>
      </c>
      <c r="I131" s="70"/>
    </row>
    <row r="132" spans="1:9" x14ac:dyDescent="0.25">
      <c r="A132" s="27" t="s">
        <v>317</v>
      </c>
      <c r="B132" t="s">
        <v>505</v>
      </c>
      <c r="C132" s="197" t="s">
        <v>171</v>
      </c>
      <c r="D132" s="45">
        <v>8.5</v>
      </c>
      <c r="E132" s="45">
        <v>0.83</v>
      </c>
      <c r="F132" s="45">
        <v>0.37</v>
      </c>
      <c r="G132" s="45">
        <v>0.16</v>
      </c>
      <c r="H132" s="44">
        <v>1000</v>
      </c>
      <c r="I132" s="2" t="s">
        <v>29</v>
      </c>
    </row>
    <row r="133" spans="1:9" x14ac:dyDescent="0.25">
      <c r="A133" s="27" t="s">
        <v>317</v>
      </c>
      <c r="B133" t="s">
        <v>506</v>
      </c>
      <c r="C133" s="197" t="s">
        <v>172</v>
      </c>
      <c r="D133" s="45">
        <v>6</v>
      </c>
      <c r="E133" s="45">
        <v>0.6</v>
      </c>
      <c r="F133" s="45">
        <v>0.24</v>
      </c>
      <c r="G133" s="45">
        <v>0.17</v>
      </c>
      <c r="H133" s="44">
        <v>50</v>
      </c>
      <c r="I133" s="70"/>
    </row>
    <row r="134" spans="1:9" x14ac:dyDescent="0.25">
      <c r="A134" s="27" t="s">
        <v>318</v>
      </c>
      <c r="B134" t="s">
        <v>507</v>
      </c>
      <c r="C134" s="198" t="s">
        <v>174</v>
      </c>
      <c r="D134" s="167">
        <v>4</v>
      </c>
      <c r="E134" s="167">
        <v>0.55000000000000004</v>
      </c>
      <c r="F134" s="167">
        <v>0.3</v>
      </c>
      <c r="G134" s="167">
        <v>0.15</v>
      </c>
      <c r="H134" s="46">
        <v>50</v>
      </c>
      <c r="I134" s="70"/>
    </row>
    <row r="135" spans="1:9" x14ac:dyDescent="0.25">
      <c r="A135" s="27" t="s">
        <v>318</v>
      </c>
      <c r="B135" t="s">
        <v>508</v>
      </c>
      <c r="C135" s="198" t="s">
        <v>175</v>
      </c>
      <c r="D135" s="167">
        <v>4.5</v>
      </c>
      <c r="E135" s="167">
        <v>0.47</v>
      </c>
      <c r="F135" s="167">
        <v>0.3</v>
      </c>
      <c r="G135" s="167">
        <v>0.18</v>
      </c>
      <c r="H135" s="46">
        <v>100</v>
      </c>
      <c r="I135" s="70"/>
    </row>
    <row r="136" spans="1:9" x14ac:dyDescent="0.25">
      <c r="A136" s="27" t="s">
        <v>319</v>
      </c>
      <c r="B136" t="s">
        <v>509</v>
      </c>
      <c r="C136" s="199" t="s">
        <v>177</v>
      </c>
      <c r="D136" s="168">
        <v>5</v>
      </c>
      <c r="E136" s="168">
        <v>0.19</v>
      </c>
      <c r="F136" s="168">
        <v>0.15</v>
      </c>
      <c r="G136" s="168">
        <v>0.11</v>
      </c>
      <c r="H136" s="48">
        <v>50</v>
      </c>
      <c r="I136" s="70"/>
    </row>
    <row r="137" spans="1:9" x14ac:dyDescent="0.25">
      <c r="A137" s="27" t="s">
        <v>320</v>
      </c>
      <c r="B137" t="s">
        <v>510</v>
      </c>
      <c r="C137" s="200" t="s">
        <v>179</v>
      </c>
      <c r="D137" s="122">
        <v>5</v>
      </c>
      <c r="E137" s="122">
        <v>0.5</v>
      </c>
      <c r="F137" s="122">
        <v>0.49</v>
      </c>
      <c r="G137" s="122">
        <v>0.15</v>
      </c>
      <c r="H137" s="121">
        <v>100</v>
      </c>
    </row>
    <row r="138" spans="1:9" x14ac:dyDescent="0.25">
      <c r="A138" s="27" t="s">
        <v>320</v>
      </c>
      <c r="B138" t="s">
        <v>511</v>
      </c>
      <c r="C138" s="200" t="s">
        <v>180</v>
      </c>
      <c r="D138" s="122">
        <v>2</v>
      </c>
      <c r="E138" s="122">
        <v>0.43</v>
      </c>
      <c r="F138" s="122">
        <v>0.31</v>
      </c>
      <c r="G138" s="122">
        <v>0.15</v>
      </c>
      <c r="H138" s="121">
        <v>50</v>
      </c>
      <c r="I138" s="70"/>
    </row>
    <row r="139" spans="1:9" x14ac:dyDescent="0.25">
      <c r="A139" s="27" t="s">
        <v>321</v>
      </c>
      <c r="B139" t="s">
        <v>512</v>
      </c>
      <c r="C139" s="191" t="s">
        <v>182</v>
      </c>
      <c r="D139" s="50">
        <v>5</v>
      </c>
      <c r="E139" s="50">
        <v>0.6</v>
      </c>
      <c r="F139" s="50">
        <v>0.48</v>
      </c>
      <c r="G139" s="50">
        <v>0.14000000000000001</v>
      </c>
      <c r="H139" s="72">
        <v>50</v>
      </c>
      <c r="I139" s="70"/>
    </row>
    <row r="140" spans="1:9" x14ac:dyDescent="0.25">
      <c r="A140" t="s">
        <v>322</v>
      </c>
      <c r="B140" t="s">
        <v>513</v>
      </c>
      <c r="C140" s="201" t="s">
        <v>184</v>
      </c>
      <c r="D140" s="169">
        <v>3</v>
      </c>
      <c r="E140" s="169">
        <v>0.32</v>
      </c>
      <c r="F140" s="169">
        <v>0.28999999999999998</v>
      </c>
      <c r="G140" s="169">
        <v>0.15</v>
      </c>
      <c r="H140" s="73">
        <v>100</v>
      </c>
      <c r="I140" s="70"/>
    </row>
    <row r="141" spans="1:9" x14ac:dyDescent="0.25">
      <c r="A141" t="s">
        <v>323</v>
      </c>
      <c r="B141" t="s">
        <v>514</v>
      </c>
      <c r="C141" s="202" t="s">
        <v>186</v>
      </c>
      <c r="D141" s="170">
        <v>10</v>
      </c>
      <c r="E141" s="170">
        <v>0.28000000000000003</v>
      </c>
      <c r="F141" s="170">
        <v>0.38</v>
      </c>
      <c r="G141" s="170">
        <v>0.32</v>
      </c>
      <c r="H141" s="92">
        <v>1</v>
      </c>
      <c r="I141" s="70"/>
    </row>
    <row r="142" spans="1:9" x14ac:dyDescent="0.25">
      <c r="A142" t="s">
        <v>323</v>
      </c>
      <c r="B142" t="s">
        <v>515</v>
      </c>
      <c r="C142" s="202" t="s">
        <v>187</v>
      </c>
      <c r="D142" s="170">
        <v>15</v>
      </c>
      <c r="E142" s="170">
        <v>0.3</v>
      </c>
      <c r="F142" s="170">
        <v>0.3</v>
      </c>
      <c r="G142" s="170">
        <v>0.23</v>
      </c>
      <c r="H142" s="92">
        <v>12</v>
      </c>
      <c r="I142" s="70"/>
    </row>
    <row r="143" spans="1:9" x14ac:dyDescent="0.25">
      <c r="A143" t="s">
        <v>323</v>
      </c>
      <c r="B143" t="s">
        <v>516</v>
      </c>
      <c r="C143" s="202" t="s">
        <v>188</v>
      </c>
      <c r="D143" s="170">
        <v>10</v>
      </c>
      <c r="E143" s="170">
        <v>0.28000000000000003</v>
      </c>
      <c r="F143" s="170">
        <v>0.38</v>
      </c>
      <c r="G143" s="170">
        <v>0.33</v>
      </c>
      <c r="H143" s="92">
        <v>1</v>
      </c>
      <c r="I143" s="70"/>
    </row>
    <row r="144" spans="1:9" x14ac:dyDescent="0.25">
      <c r="A144" t="s">
        <v>324</v>
      </c>
      <c r="B144" t="s">
        <v>517</v>
      </c>
      <c r="C144" s="203" t="s">
        <v>371</v>
      </c>
      <c r="D144" s="112">
        <v>1.5</v>
      </c>
      <c r="E144" s="112">
        <v>0.5</v>
      </c>
      <c r="F144" s="112">
        <v>0.26</v>
      </c>
      <c r="G144" s="171">
        <v>0.14000000000000001</v>
      </c>
      <c r="H144" s="123">
        <v>200</v>
      </c>
      <c r="I144" s="126" t="s">
        <v>191</v>
      </c>
    </row>
    <row r="145" spans="1:9" x14ac:dyDescent="0.25">
      <c r="A145" t="s">
        <v>324</v>
      </c>
      <c r="B145" t="s">
        <v>518</v>
      </c>
      <c r="C145" s="203" t="s">
        <v>372</v>
      </c>
      <c r="D145" s="112">
        <v>2</v>
      </c>
      <c r="E145" s="112">
        <v>0.6</v>
      </c>
      <c r="F145" s="112">
        <v>0.31</v>
      </c>
      <c r="G145" s="172">
        <v>0.14000000000000001</v>
      </c>
      <c r="H145" s="105">
        <v>200</v>
      </c>
      <c r="I145" s="125"/>
    </row>
    <row r="146" spans="1:9" x14ac:dyDescent="0.25">
      <c r="A146" t="s">
        <v>324</v>
      </c>
      <c r="B146" t="s">
        <v>519</v>
      </c>
      <c r="C146" s="203" t="s">
        <v>373</v>
      </c>
      <c r="D146" s="112">
        <v>3</v>
      </c>
      <c r="E146" s="112">
        <v>0.7</v>
      </c>
      <c r="F146" s="112">
        <v>0.36</v>
      </c>
      <c r="G146" s="171">
        <v>0.16</v>
      </c>
      <c r="H146" s="114">
        <v>200</v>
      </c>
      <c r="I146" s="70"/>
    </row>
    <row r="147" spans="1:9" x14ac:dyDescent="0.25">
      <c r="A147" t="s">
        <v>324</v>
      </c>
      <c r="B147" t="s">
        <v>520</v>
      </c>
      <c r="C147" s="203" t="s">
        <v>374</v>
      </c>
      <c r="D147" s="112">
        <v>4</v>
      </c>
      <c r="E147" s="112">
        <v>0.79</v>
      </c>
      <c r="F147" s="112">
        <v>0.4</v>
      </c>
      <c r="G147" s="171">
        <v>0.14000000000000001</v>
      </c>
      <c r="H147" s="2">
        <v>200</v>
      </c>
      <c r="I147" s="70"/>
    </row>
    <row r="148" spans="1:9" x14ac:dyDescent="0.25">
      <c r="A148" t="s">
        <v>324</v>
      </c>
      <c r="B148" t="s">
        <v>521</v>
      </c>
      <c r="C148" s="203" t="s">
        <v>375</v>
      </c>
      <c r="D148" s="112">
        <v>3.2</v>
      </c>
      <c r="E148" s="112">
        <v>0.63</v>
      </c>
      <c r="F148" s="112">
        <v>0.3</v>
      </c>
      <c r="G148" s="171">
        <v>0.14000000000000001</v>
      </c>
      <c r="H148" s="2">
        <v>100</v>
      </c>
      <c r="I148" s="2" t="s">
        <v>196</v>
      </c>
    </row>
    <row r="149" spans="1:9" x14ac:dyDescent="0.25">
      <c r="A149" t="s">
        <v>324</v>
      </c>
      <c r="B149" t="s">
        <v>522</v>
      </c>
      <c r="C149" s="203" t="s">
        <v>376</v>
      </c>
      <c r="D149" s="171">
        <v>1.5</v>
      </c>
      <c r="E149" s="171">
        <v>0.3</v>
      </c>
      <c r="F149" s="171">
        <v>0.3</v>
      </c>
      <c r="G149" s="171">
        <v>0.15</v>
      </c>
      <c r="H149" s="2">
        <v>50</v>
      </c>
      <c r="I149" s="2" t="s">
        <v>196</v>
      </c>
    </row>
    <row r="150" spans="1:9" x14ac:dyDescent="0.25">
      <c r="A150" t="s">
        <v>325</v>
      </c>
      <c r="B150" t="s">
        <v>523</v>
      </c>
      <c r="C150" s="182" t="s">
        <v>199</v>
      </c>
      <c r="D150" s="19">
        <v>0.8</v>
      </c>
      <c r="E150" s="19">
        <v>12.5</v>
      </c>
      <c r="F150" s="19">
        <v>12.5</v>
      </c>
      <c r="G150" s="19">
        <v>11</v>
      </c>
      <c r="H150" s="78">
        <v>1</v>
      </c>
      <c r="I150" s="70"/>
    </row>
    <row r="151" spans="1:9" x14ac:dyDescent="0.25">
      <c r="A151" t="s">
        <v>325</v>
      </c>
      <c r="B151" t="s">
        <v>524</v>
      </c>
      <c r="C151" s="182" t="s">
        <v>200</v>
      </c>
      <c r="D151" s="19">
        <v>14</v>
      </c>
      <c r="E151" s="19">
        <v>56</v>
      </c>
      <c r="F151" s="19">
        <v>12</v>
      </c>
      <c r="G151" s="19">
        <v>26</v>
      </c>
      <c r="H151" s="78">
        <v>10</v>
      </c>
      <c r="I151" s="70"/>
    </row>
    <row r="152" spans="1:9" ht="15.75" customHeight="1" x14ac:dyDescent="0.25">
      <c r="A152" t="s">
        <v>326</v>
      </c>
      <c r="B152" t="s">
        <v>525</v>
      </c>
      <c r="C152" s="194" t="s">
        <v>202</v>
      </c>
      <c r="D152" s="42">
        <v>3</v>
      </c>
      <c r="E152" s="42">
        <v>0.45</v>
      </c>
      <c r="F152" s="42">
        <v>0.45</v>
      </c>
      <c r="G152" s="42">
        <v>0.15</v>
      </c>
      <c r="H152" s="67">
        <v>50</v>
      </c>
      <c r="I152" s="70"/>
    </row>
    <row r="153" spans="1:9" ht="15.75" customHeight="1" x14ac:dyDescent="0.25">
      <c r="A153" t="s">
        <v>326</v>
      </c>
      <c r="B153" t="s">
        <v>526</v>
      </c>
      <c r="C153" s="194" t="s">
        <v>203</v>
      </c>
      <c r="D153" s="42">
        <v>3</v>
      </c>
      <c r="E153" s="42">
        <v>0.46</v>
      </c>
      <c r="F153" s="42">
        <v>0.46</v>
      </c>
      <c r="G153" s="42">
        <v>0.08</v>
      </c>
      <c r="H153" s="67">
        <v>50</v>
      </c>
      <c r="I153" s="70"/>
    </row>
    <row r="154" spans="1:9" ht="18" customHeight="1" x14ac:dyDescent="0.25">
      <c r="A154" t="s">
        <v>326</v>
      </c>
      <c r="B154" t="s">
        <v>527</v>
      </c>
      <c r="C154" s="194" t="s">
        <v>204</v>
      </c>
      <c r="D154" s="42">
        <v>2</v>
      </c>
      <c r="E154" s="42">
        <v>0.57999999999999996</v>
      </c>
      <c r="F154" s="42">
        <v>0.6</v>
      </c>
      <c r="G154" s="42">
        <v>0.15</v>
      </c>
      <c r="H154" s="67">
        <v>50</v>
      </c>
      <c r="I154" s="70"/>
    </row>
    <row r="155" spans="1:9" x14ac:dyDescent="0.25">
      <c r="A155" t="s">
        <v>326</v>
      </c>
      <c r="B155" t="s">
        <v>528</v>
      </c>
      <c r="C155" s="194" t="s">
        <v>205</v>
      </c>
      <c r="D155" s="42">
        <v>3</v>
      </c>
      <c r="E155" s="42">
        <v>0.8</v>
      </c>
      <c r="F155" s="42">
        <v>0.45</v>
      </c>
      <c r="G155" s="42">
        <v>0.15</v>
      </c>
      <c r="H155" s="67">
        <v>400</v>
      </c>
      <c r="I155" s="70"/>
    </row>
    <row r="156" spans="1:9" x14ac:dyDescent="0.25">
      <c r="A156" t="s">
        <v>327</v>
      </c>
      <c r="B156" t="s">
        <v>529</v>
      </c>
      <c r="C156" s="180" t="s">
        <v>98</v>
      </c>
      <c r="D156" s="13">
        <v>6.5</v>
      </c>
      <c r="E156" s="13">
        <v>0.67</v>
      </c>
      <c r="F156" s="13">
        <v>0.35</v>
      </c>
      <c r="G156" s="13">
        <v>0.1</v>
      </c>
      <c r="H156" s="147">
        <v>50</v>
      </c>
      <c r="I156" s="70"/>
    </row>
    <row r="157" spans="1:9" x14ac:dyDescent="0.25">
      <c r="A157" t="s">
        <v>327</v>
      </c>
      <c r="B157" t="s">
        <v>530</v>
      </c>
      <c r="C157" s="180" t="s">
        <v>207</v>
      </c>
      <c r="D157" s="13">
        <v>12</v>
      </c>
      <c r="E157" s="13">
        <v>0.67</v>
      </c>
      <c r="F157" s="13">
        <v>0.59</v>
      </c>
      <c r="G157" s="13">
        <v>0.1</v>
      </c>
      <c r="H157" s="147">
        <v>50</v>
      </c>
      <c r="I157" s="70"/>
    </row>
    <row r="158" spans="1:9" x14ac:dyDescent="0.25">
      <c r="A158" t="s">
        <v>327</v>
      </c>
      <c r="B158" t="s">
        <v>531</v>
      </c>
      <c r="C158" s="180" t="s">
        <v>339</v>
      </c>
      <c r="D158" s="13">
        <v>6</v>
      </c>
      <c r="E158" s="13">
        <v>0.56999999999999995</v>
      </c>
      <c r="F158" s="13">
        <v>0.45</v>
      </c>
      <c r="G158" s="13">
        <v>0.17</v>
      </c>
      <c r="H158" s="147">
        <v>50</v>
      </c>
      <c r="I158" s="70"/>
    </row>
    <row r="159" spans="1:9" x14ac:dyDescent="0.25">
      <c r="A159" t="s">
        <v>327</v>
      </c>
      <c r="B159" t="s">
        <v>532</v>
      </c>
      <c r="C159" s="180" t="s">
        <v>377</v>
      </c>
      <c r="D159" s="13">
        <v>8</v>
      </c>
      <c r="E159" s="13">
        <v>0.67</v>
      </c>
      <c r="F159" s="13">
        <v>0.7</v>
      </c>
      <c r="G159" s="13">
        <v>0.17</v>
      </c>
      <c r="H159" s="147">
        <v>50</v>
      </c>
      <c r="I159" s="70"/>
    </row>
    <row r="160" spans="1:9" x14ac:dyDescent="0.25">
      <c r="A160" t="s">
        <v>327</v>
      </c>
      <c r="B160" t="s">
        <v>533</v>
      </c>
      <c r="C160" s="180" t="s">
        <v>378</v>
      </c>
      <c r="D160" s="13">
        <v>7</v>
      </c>
      <c r="E160" s="13">
        <v>0.56000000000000005</v>
      </c>
      <c r="F160" s="13">
        <v>0.65</v>
      </c>
      <c r="G160" s="13">
        <v>0.17</v>
      </c>
      <c r="H160" s="147">
        <v>50</v>
      </c>
      <c r="I160" s="70"/>
    </row>
    <row r="161" spans="1:9" x14ac:dyDescent="0.25">
      <c r="A161" t="s">
        <v>337</v>
      </c>
      <c r="B161" t="s">
        <v>534</v>
      </c>
      <c r="C161" s="180" t="s">
        <v>1</v>
      </c>
      <c r="D161" s="13" t="s">
        <v>2</v>
      </c>
      <c r="E161" s="13" t="s">
        <v>3</v>
      </c>
      <c r="F161" s="13" t="s">
        <v>4</v>
      </c>
      <c r="G161" s="13" t="s">
        <v>5</v>
      </c>
      <c r="H161" s="147" t="s">
        <v>6</v>
      </c>
      <c r="I161" s="2" t="s">
        <v>7</v>
      </c>
    </row>
    <row r="162" spans="1:9" x14ac:dyDescent="0.25">
      <c r="A162" t="s">
        <v>337</v>
      </c>
      <c r="B162" t="s">
        <v>531</v>
      </c>
      <c r="C162" s="180" t="s">
        <v>339</v>
      </c>
      <c r="D162" s="13">
        <v>6</v>
      </c>
      <c r="E162" s="13">
        <v>0.56999999999999995</v>
      </c>
      <c r="F162" s="13">
        <v>0.45</v>
      </c>
      <c r="G162" s="13">
        <v>0.17</v>
      </c>
      <c r="H162" s="147">
        <v>50</v>
      </c>
      <c r="I162" s="2"/>
    </row>
    <row r="163" spans="1:9" x14ac:dyDescent="0.25">
      <c r="A163" t="s">
        <v>337</v>
      </c>
      <c r="B163" t="s">
        <v>532</v>
      </c>
      <c r="C163" s="180" t="s">
        <v>377</v>
      </c>
      <c r="D163" s="13">
        <v>8</v>
      </c>
      <c r="E163" s="13">
        <v>0.67</v>
      </c>
      <c r="F163" s="13">
        <v>0.7</v>
      </c>
      <c r="G163" s="13">
        <v>0.17</v>
      </c>
      <c r="H163" s="147">
        <v>50</v>
      </c>
      <c r="I163" s="2"/>
    </row>
    <row r="164" spans="1:9" x14ac:dyDescent="0.25">
      <c r="A164" t="s">
        <v>337</v>
      </c>
      <c r="B164" t="s">
        <v>533</v>
      </c>
      <c r="C164" s="180" t="s">
        <v>378</v>
      </c>
      <c r="D164" s="13">
        <v>7</v>
      </c>
      <c r="E164" s="13">
        <v>0.56000000000000005</v>
      </c>
      <c r="F164" s="13">
        <v>0.65</v>
      </c>
      <c r="G164" s="13">
        <v>0.17</v>
      </c>
      <c r="H164" s="147">
        <v>50</v>
      </c>
      <c r="I164" s="2"/>
    </row>
    <row r="165" spans="1:9" x14ac:dyDescent="0.25">
      <c r="A165" t="s">
        <v>337</v>
      </c>
      <c r="B165" t="s">
        <v>440</v>
      </c>
      <c r="C165" s="183" t="s">
        <v>92</v>
      </c>
      <c r="D165" s="155">
        <v>8</v>
      </c>
      <c r="E165" s="155">
        <v>0.95</v>
      </c>
      <c r="F165" s="155">
        <v>0.5</v>
      </c>
      <c r="G165" s="155">
        <v>0.17</v>
      </c>
      <c r="H165" s="22">
        <v>50</v>
      </c>
      <c r="I165" s="2" t="s">
        <v>87</v>
      </c>
    </row>
    <row r="166" spans="1:9" x14ac:dyDescent="0.25">
      <c r="A166" t="s">
        <v>328</v>
      </c>
      <c r="B166" t="s">
        <v>440</v>
      </c>
      <c r="C166" s="183" t="s">
        <v>92</v>
      </c>
      <c r="D166" s="155">
        <v>8</v>
      </c>
      <c r="E166" s="155">
        <v>0.95</v>
      </c>
      <c r="F166" s="155">
        <v>0.5</v>
      </c>
      <c r="G166" s="155">
        <v>0.17</v>
      </c>
      <c r="H166" s="22">
        <v>50</v>
      </c>
      <c r="I166" s="70"/>
    </row>
    <row r="167" spans="1:9" x14ac:dyDescent="0.25">
      <c r="A167" t="s">
        <v>328</v>
      </c>
      <c r="B167" t="s">
        <v>535</v>
      </c>
      <c r="C167" s="183" t="s">
        <v>98</v>
      </c>
      <c r="D167" s="155">
        <v>5.5</v>
      </c>
      <c r="E167" s="155">
        <v>0.35</v>
      </c>
      <c r="F167" s="155">
        <v>0.69</v>
      </c>
      <c r="G167" s="155">
        <v>0.14000000000000001</v>
      </c>
      <c r="H167" s="22">
        <v>50</v>
      </c>
      <c r="I167" s="70"/>
    </row>
    <row r="168" spans="1:9" x14ac:dyDescent="0.25">
      <c r="A168" t="s">
        <v>328</v>
      </c>
      <c r="B168" t="s">
        <v>536</v>
      </c>
      <c r="C168" s="183" t="s">
        <v>207</v>
      </c>
      <c r="D168" s="155">
        <v>9.5</v>
      </c>
      <c r="E168" s="155">
        <v>0.6</v>
      </c>
      <c r="F168" s="155">
        <v>0.69</v>
      </c>
      <c r="G168" s="155">
        <v>0.14000000000000001</v>
      </c>
      <c r="H168" s="22">
        <v>50</v>
      </c>
      <c r="I168" s="70"/>
    </row>
    <row r="169" spans="1:9" x14ac:dyDescent="0.25">
      <c r="A169" t="s">
        <v>328</v>
      </c>
      <c r="B169" t="s">
        <v>537</v>
      </c>
      <c r="C169" s="183" t="s">
        <v>209</v>
      </c>
      <c r="D169" s="155">
        <v>4</v>
      </c>
      <c r="E169" s="155">
        <v>0.33</v>
      </c>
      <c r="F169" s="155">
        <v>0.36</v>
      </c>
      <c r="G169" s="155">
        <v>7.0000000000000007E-2</v>
      </c>
      <c r="H169" s="22">
        <v>250</v>
      </c>
      <c r="I169" s="70"/>
    </row>
    <row r="170" spans="1:9" x14ac:dyDescent="0.25">
      <c r="A170" t="s">
        <v>328</v>
      </c>
      <c r="B170" t="s">
        <v>538</v>
      </c>
      <c r="C170" s="183" t="s">
        <v>105</v>
      </c>
      <c r="D170" s="155">
        <v>3</v>
      </c>
      <c r="E170" s="155">
        <v>0.42</v>
      </c>
      <c r="F170" s="155">
        <v>0.46</v>
      </c>
      <c r="G170" s="155">
        <v>7.0000000000000007E-2</v>
      </c>
      <c r="H170" s="22">
        <v>250</v>
      </c>
      <c r="I170" s="70"/>
    </row>
    <row r="171" spans="1:9" x14ac:dyDescent="0.25">
      <c r="A171" t="s">
        <v>328</v>
      </c>
      <c r="B171" t="s">
        <v>539</v>
      </c>
      <c r="C171" s="183" t="s">
        <v>210</v>
      </c>
      <c r="D171" s="155">
        <v>7.5</v>
      </c>
      <c r="E171" s="155">
        <v>0.6</v>
      </c>
      <c r="F171" s="155">
        <v>0.43</v>
      </c>
      <c r="G171" s="155">
        <v>0.05</v>
      </c>
      <c r="H171" s="22">
        <v>25</v>
      </c>
      <c r="I171" s="70"/>
    </row>
    <row r="172" spans="1:9" x14ac:dyDescent="0.25">
      <c r="A172" t="s">
        <v>328</v>
      </c>
      <c r="B172" t="s">
        <v>540</v>
      </c>
      <c r="C172" s="183" t="s">
        <v>211</v>
      </c>
      <c r="D172" s="155">
        <v>4</v>
      </c>
      <c r="E172" s="155">
        <v>0.4</v>
      </c>
      <c r="F172" s="155">
        <v>0.22</v>
      </c>
      <c r="G172" s="155">
        <v>0.11</v>
      </c>
      <c r="H172" s="22">
        <v>200</v>
      </c>
      <c r="I172" s="70"/>
    </row>
    <row r="173" spans="1:9" x14ac:dyDescent="0.25">
      <c r="A173" t="s">
        <v>328</v>
      </c>
      <c r="B173" t="s">
        <v>541</v>
      </c>
      <c r="C173" s="183" t="s">
        <v>212</v>
      </c>
      <c r="D173" s="155">
        <v>4</v>
      </c>
      <c r="E173" s="155">
        <v>0.38</v>
      </c>
      <c r="F173" s="155">
        <v>0.22</v>
      </c>
      <c r="G173" s="155">
        <v>0.08</v>
      </c>
      <c r="H173" s="22">
        <v>100</v>
      </c>
      <c r="I173" s="70"/>
    </row>
    <row r="174" spans="1:9" x14ac:dyDescent="0.25">
      <c r="A174" t="s">
        <v>328</v>
      </c>
      <c r="B174" t="s">
        <v>542</v>
      </c>
      <c r="C174" s="183" t="s">
        <v>213</v>
      </c>
      <c r="D174" s="155">
        <v>15</v>
      </c>
      <c r="E174" s="155">
        <v>1.18</v>
      </c>
      <c r="F174" s="155">
        <v>0.59</v>
      </c>
      <c r="G174" s="155">
        <v>0.15</v>
      </c>
      <c r="H174" s="22">
        <v>50</v>
      </c>
      <c r="I174" s="70"/>
    </row>
    <row r="175" spans="1:9" x14ac:dyDescent="0.25">
      <c r="A175" t="s">
        <v>328</v>
      </c>
      <c r="B175" t="s">
        <v>543</v>
      </c>
      <c r="C175" s="183" t="s">
        <v>214</v>
      </c>
      <c r="D175" s="155">
        <v>2.085</v>
      </c>
      <c r="E175" s="155">
        <v>0.34</v>
      </c>
      <c r="F175" s="155">
        <v>0.12</v>
      </c>
      <c r="G175" s="155">
        <v>0.08</v>
      </c>
      <c r="H175" s="22">
        <v>50</v>
      </c>
      <c r="I175" s="70"/>
    </row>
    <row r="176" spans="1:9" x14ac:dyDescent="0.25">
      <c r="A176" t="s">
        <v>328</v>
      </c>
      <c r="B176" t="s">
        <v>544</v>
      </c>
      <c r="C176" s="183" t="s">
        <v>224</v>
      </c>
      <c r="D176" s="155">
        <v>1</v>
      </c>
      <c r="E176" s="155">
        <v>0.31</v>
      </c>
      <c r="F176" s="155">
        <v>0.19</v>
      </c>
      <c r="G176" s="155">
        <v>0.17</v>
      </c>
      <c r="H176" s="22">
        <v>100</v>
      </c>
      <c r="I176" s="179"/>
    </row>
    <row r="177" spans="1:9" x14ac:dyDescent="0.25">
      <c r="A177" t="s">
        <v>328</v>
      </c>
      <c r="B177" t="s">
        <v>545</v>
      </c>
      <c r="C177" s="183" t="s">
        <v>226</v>
      </c>
      <c r="D177" s="155">
        <v>4</v>
      </c>
      <c r="E177" s="155">
        <v>0.43</v>
      </c>
      <c r="F177" s="155">
        <v>0.35</v>
      </c>
      <c r="G177" s="155">
        <v>0.17</v>
      </c>
      <c r="H177" s="22">
        <v>100</v>
      </c>
      <c r="I177" s="179"/>
    </row>
    <row r="178" spans="1:9" x14ac:dyDescent="0.25">
      <c r="A178" t="s">
        <v>336</v>
      </c>
      <c r="B178" t="s">
        <v>546</v>
      </c>
      <c r="C178" s="204" t="s">
        <v>229</v>
      </c>
      <c r="D178" s="58">
        <v>5</v>
      </c>
      <c r="E178" s="58">
        <v>0.37</v>
      </c>
      <c r="F178" s="58">
        <v>0.38</v>
      </c>
      <c r="G178" s="58">
        <v>0.17</v>
      </c>
      <c r="H178" s="57">
        <v>200</v>
      </c>
      <c r="I178" s="179"/>
    </row>
    <row r="179" spans="1:9" x14ac:dyDescent="0.25">
      <c r="A179" t="s">
        <v>336</v>
      </c>
      <c r="B179" t="s">
        <v>547</v>
      </c>
      <c r="C179" s="204" t="s">
        <v>231</v>
      </c>
      <c r="D179" s="58">
        <v>4</v>
      </c>
      <c r="E179" s="58">
        <v>0.37</v>
      </c>
      <c r="F179" s="58">
        <v>0.3</v>
      </c>
      <c r="G179" s="58">
        <v>0.18</v>
      </c>
      <c r="H179" s="57">
        <v>100</v>
      </c>
      <c r="I179" s="179"/>
    </row>
    <row r="180" spans="1:9" x14ac:dyDescent="0.25">
      <c r="A180" t="s">
        <v>336</v>
      </c>
      <c r="B180" t="s">
        <v>548</v>
      </c>
      <c r="C180" s="204" t="s">
        <v>233</v>
      </c>
      <c r="D180" s="58">
        <v>4</v>
      </c>
      <c r="E180" s="58">
        <v>0.3</v>
      </c>
      <c r="F180" s="58">
        <v>0.6</v>
      </c>
      <c r="G180" s="58">
        <v>0.18</v>
      </c>
      <c r="H180" s="57">
        <v>100</v>
      </c>
      <c r="I180" s="179"/>
    </row>
    <row r="181" spans="1:9" x14ac:dyDescent="0.25">
      <c r="A181" t="s">
        <v>336</v>
      </c>
      <c r="B181" t="s">
        <v>549</v>
      </c>
      <c r="C181" s="204" t="s">
        <v>235</v>
      </c>
      <c r="D181" s="58">
        <v>8</v>
      </c>
      <c r="E181" s="58">
        <v>0.37</v>
      </c>
      <c r="F181" s="58">
        <v>0.65</v>
      </c>
      <c r="G181" s="58">
        <v>0.15</v>
      </c>
      <c r="H181" s="57">
        <v>50</v>
      </c>
      <c r="I181" s="179"/>
    </row>
    <row r="182" spans="1:9" x14ac:dyDescent="0.25">
      <c r="A182" t="s">
        <v>336</v>
      </c>
      <c r="B182" t="s">
        <v>550</v>
      </c>
      <c r="C182" s="204" t="s">
        <v>237</v>
      </c>
      <c r="D182" s="58">
        <v>8.5</v>
      </c>
      <c r="E182" s="58">
        <v>0.74</v>
      </c>
      <c r="F182" s="58">
        <v>0.45</v>
      </c>
      <c r="G182" s="58">
        <v>0.15</v>
      </c>
      <c r="H182" s="57">
        <v>50</v>
      </c>
      <c r="I182" s="179"/>
    </row>
    <row r="183" spans="1:9" x14ac:dyDescent="0.25">
      <c r="A183" t="s">
        <v>336</v>
      </c>
      <c r="B183" t="s">
        <v>551</v>
      </c>
      <c r="C183" s="204" t="s">
        <v>239</v>
      </c>
      <c r="D183" s="58">
        <v>12</v>
      </c>
      <c r="E183" s="58">
        <v>0.76</v>
      </c>
      <c r="F183" s="58">
        <v>0.69</v>
      </c>
      <c r="G183" s="58">
        <v>0.15</v>
      </c>
      <c r="H183" s="57">
        <v>50</v>
      </c>
      <c r="I183" s="179"/>
    </row>
    <row r="184" spans="1:9" x14ac:dyDescent="0.25">
      <c r="A184" t="s">
        <v>336</v>
      </c>
      <c r="B184" t="s">
        <v>552</v>
      </c>
      <c r="C184" s="204" t="s">
        <v>240</v>
      </c>
      <c r="D184" s="58">
        <v>12</v>
      </c>
      <c r="E184" s="58">
        <v>0.76</v>
      </c>
      <c r="F184" s="58">
        <v>0.65</v>
      </c>
      <c r="G184" s="58">
        <v>0.15</v>
      </c>
      <c r="H184" s="57">
        <v>50</v>
      </c>
      <c r="I184" s="179"/>
    </row>
    <row r="185" spans="1:9" x14ac:dyDescent="0.25">
      <c r="A185" t="s">
        <v>335</v>
      </c>
      <c r="B185" t="s">
        <v>553</v>
      </c>
      <c r="C185" s="182" t="s">
        <v>350</v>
      </c>
      <c r="D185" s="19">
        <v>4.5</v>
      </c>
      <c r="E185" s="19">
        <v>0.24</v>
      </c>
      <c r="F185" s="19">
        <v>0.16</v>
      </c>
      <c r="G185" s="19">
        <v>0.16</v>
      </c>
      <c r="H185" s="78">
        <v>1</v>
      </c>
    </row>
    <row r="186" spans="1:9" x14ac:dyDescent="0.25">
      <c r="A186" t="s">
        <v>335</v>
      </c>
      <c r="B186" t="s">
        <v>554</v>
      </c>
      <c r="C186" s="182" t="s">
        <v>349</v>
      </c>
      <c r="D186" s="19">
        <v>3</v>
      </c>
      <c r="E186" s="19">
        <v>0.28999999999999998</v>
      </c>
      <c r="F186" s="19">
        <v>0.57999999999999996</v>
      </c>
      <c r="G186" s="19">
        <v>0.17</v>
      </c>
      <c r="H186" s="147">
        <v>50</v>
      </c>
      <c r="I186" s="2" t="s">
        <v>29</v>
      </c>
    </row>
    <row r="187" spans="1:9" x14ac:dyDescent="0.25">
      <c r="A187" t="s">
        <v>335</v>
      </c>
      <c r="B187" t="s">
        <v>411</v>
      </c>
      <c r="C187" s="182" t="s">
        <v>351</v>
      </c>
      <c r="D187" s="19">
        <v>6.5</v>
      </c>
      <c r="E187" s="19">
        <v>0.8</v>
      </c>
      <c r="F187" s="19">
        <v>0.4</v>
      </c>
      <c r="G187" s="19">
        <v>0.15</v>
      </c>
      <c r="H187" s="147">
        <v>50</v>
      </c>
      <c r="I187" s="2" t="s">
        <v>218</v>
      </c>
    </row>
    <row r="188" spans="1:9" x14ac:dyDescent="0.25">
      <c r="A188" t="s">
        <v>335</v>
      </c>
      <c r="B188" t="s">
        <v>415</v>
      </c>
      <c r="C188" s="182" t="s">
        <v>355</v>
      </c>
      <c r="D188" s="19">
        <v>10</v>
      </c>
      <c r="E188" s="19">
        <v>0.92</v>
      </c>
      <c r="F188" s="19">
        <v>0.48</v>
      </c>
      <c r="G188" s="19">
        <v>0.15</v>
      </c>
      <c r="H188" s="147">
        <v>50</v>
      </c>
      <c r="I188" s="2" t="s">
        <v>218</v>
      </c>
    </row>
    <row r="189" spans="1:9" x14ac:dyDescent="0.25">
      <c r="A189" t="s">
        <v>329</v>
      </c>
      <c r="B189" t="s">
        <v>555</v>
      </c>
      <c r="C189" s="205" t="s">
        <v>379</v>
      </c>
      <c r="D189" s="173">
        <v>5</v>
      </c>
      <c r="E189" s="174">
        <v>0.62</v>
      </c>
      <c r="F189" s="174">
        <v>0.32</v>
      </c>
      <c r="G189" s="174">
        <v>0.09</v>
      </c>
      <c r="H189" s="137">
        <v>50</v>
      </c>
      <c r="I189" s="138" t="s">
        <v>29</v>
      </c>
    </row>
    <row r="190" spans="1:9" x14ac:dyDescent="0.25">
      <c r="A190" t="s">
        <v>329</v>
      </c>
      <c r="B190" t="s">
        <v>556</v>
      </c>
      <c r="C190" s="206" t="s">
        <v>350</v>
      </c>
      <c r="D190" s="175">
        <v>2.5</v>
      </c>
      <c r="E190" s="176">
        <v>0.34</v>
      </c>
      <c r="F190" s="176">
        <v>0.34</v>
      </c>
      <c r="G190" s="176">
        <v>0.13</v>
      </c>
      <c r="H190" s="106">
        <v>25</v>
      </c>
      <c r="I190" s="130" t="s">
        <v>27</v>
      </c>
    </row>
    <row r="191" spans="1:9" x14ac:dyDescent="0.25">
      <c r="A191" t="s">
        <v>329</v>
      </c>
      <c r="B191" t="s">
        <v>410</v>
      </c>
      <c r="C191" s="206" t="s">
        <v>380</v>
      </c>
      <c r="D191" s="175">
        <v>4</v>
      </c>
      <c r="E191" s="176">
        <v>0.39</v>
      </c>
      <c r="F191" s="176">
        <v>0.39</v>
      </c>
      <c r="G191" s="176">
        <v>0.14000000000000001</v>
      </c>
      <c r="H191" s="106">
        <v>50</v>
      </c>
      <c r="I191" s="130" t="s">
        <v>27</v>
      </c>
    </row>
    <row r="192" spans="1:9" x14ac:dyDescent="0.25">
      <c r="A192" t="s">
        <v>329</v>
      </c>
      <c r="B192" t="s">
        <v>414</v>
      </c>
      <c r="C192" s="206" t="s">
        <v>354</v>
      </c>
      <c r="D192" s="175">
        <v>6</v>
      </c>
      <c r="E192" s="176">
        <v>0.44</v>
      </c>
      <c r="F192" s="176">
        <v>0.44</v>
      </c>
      <c r="G192" s="176">
        <v>0.13</v>
      </c>
      <c r="H192" s="106">
        <v>25</v>
      </c>
      <c r="I192" s="130" t="s">
        <v>27</v>
      </c>
    </row>
    <row r="193" spans="1:9" x14ac:dyDescent="0.25">
      <c r="A193" t="s">
        <v>329</v>
      </c>
      <c r="B193" t="s">
        <v>557</v>
      </c>
      <c r="C193" s="206" t="s">
        <v>354</v>
      </c>
      <c r="D193" s="175">
        <v>10</v>
      </c>
      <c r="E193" s="176">
        <v>0.82</v>
      </c>
      <c r="F193" s="176">
        <v>0.43</v>
      </c>
      <c r="G193" s="176">
        <v>0.09</v>
      </c>
      <c r="H193" s="106">
        <v>50</v>
      </c>
      <c r="I193" s="130" t="s">
        <v>29</v>
      </c>
    </row>
    <row r="194" spans="1:9" x14ac:dyDescent="0.25">
      <c r="A194" t="s">
        <v>329</v>
      </c>
      <c r="B194" t="s">
        <v>558</v>
      </c>
      <c r="C194" s="206" t="s">
        <v>355</v>
      </c>
      <c r="D194" s="175">
        <v>12.5</v>
      </c>
      <c r="E194" s="176">
        <v>0.92</v>
      </c>
      <c r="F194" s="176">
        <v>0.48</v>
      </c>
      <c r="G194" s="176">
        <v>0.1</v>
      </c>
      <c r="H194" s="106">
        <v>50</v>
      </c>
      <c r="I194" s="130" t="s">
        <v>29</v>
      </c>
    </row>
    <row r="195" spans="1:9" x14ac:dyDescent="0.25">
      <c r="A195" t="s">
        <v>329</v>
      </c>
      <c r="B195" t="s">
        <v>416</v>
      </c>
      <c r="C195" s="206" t="s">
        <v>355</v>
      </c>
      <c r="D195" s="175">
        <v>7.5</v>
      </c>
      <c r="E195" s="176">
        <v>0.49</v>
      </c>
      <c r="F195" s="176">
        <v>0.49</v>
      </c>
      <c r="G195" s="176">
        <v>0.15</v>
      </c>
      <c r="H195" s="106">
        <v>25</v>
      </c>
      <c r="I195" s="130" t="s">
        <v>27</v>
      </c>
    </row>
    <row r="196" spans="1:9" x14ac:dyDescent="0.25">
      <c r="A196" t="s">
        <v>330</v>
      </c>
      <c r="B196" t="s">
        <v>559</v>
      </c>
      <c r="C196" s="206" t="s">
        <v>354</v>
      </c>
      <c r="D196" s="175">
        <v>6</v>
      </c>
      <c r="E196" s="176">
        <v>0.47</v>
      </c>
      <c r="F196" s="176">
        <v>0.47</v>
      </c>
      <c r="G196" s="176">
        <v>0.15</v>
      </c>
      <c r="H196" s="106">
        <v>50</v>
      </c>
      <c r="I196" s="138" t="s">
        <v>29</v>
      </c>
    </row>
    <row r="197" spans="1:9" x14ac:dyDescent="0.25">
      <c r="A197" t="s">
        <v>330</v>
      </c>
      <c r="B197" t="s">
        <v>416</v>
      </c>
      <c r="C197" s="206" t="s">
        <v>380</v>
      </c>
      <c r="D197" s="175">
        <v>8</v>
      </c>
      <c r="E197" s="176">
        <v>0.49</v>
      </c>
      <c r="F197" s="176">
        <v>0.49</v>
      </c>
      <c r="G197" s="176">
        <v>0.15</v>
      </c>
      <c r="H197" s="106">
        <v>50</v>
      </c>
      <c r="I197" s="130" t="s">
        <v>29</v>
      </c>
    </row>
    <row r="198" spans="1:9" x14ac:dyDescent="0.25">
      <c r="A198" t="s">
        <v>331</v>
      </c>
      <c r="B198" t="s">
        <v>554</v>
      </c>
      <c r="C198" s="182" t="s">
        <v>349</v>
      </c>
      <c r="D198" s="19">
        <v>3</v>
      </c>
      <c r="E198" s="19">
        <v>0.28999999999999998</v>
      </c>
      <c r="F198" s="19">
        <v>0.57999999999999996</v>
      </c>
      <c r="G198" s="19">
        <v>0.17</v>
      </c>
      <c r="H198" s="147">
        <v>50</v>
      </c>
      <c r="I198" s="2" t="s">
        <v>29</v>
      </c>
    </row>
    <row r="199" spans="1:9" x14ac:dyDescent="0.25">
      <c r="A199" t="s">
        <v>331</v>
      </c>
      <c r="B199" t="s">
        <v>411</v>
      </c>
      <c r="C199" s="182" t="s">
        <v>351</v>
      </c>
      <c r="D199" s="19">
        <v>6.5</v>
      </c>
      <c r="E199" s="19">
        <v>0.8</v>
      </c>
      <c r="F199" s="19">
        <v>0.4</v>
      </c>
      <c r="G199" s="19">
        <v>0.15</v>
      </c>
      <c r="H199" s="147">
        <v>50</v>
      </c>
      <c r="I199" s="2" t="s">
        <v>218</v>
      </c>
    </row>
    <row r="200" spans="1:9" x14ac:dyDescent="0.25">
      <c r="A200" t="s">
        <v>331</v>
      </c>
      <c r="B200" t="s">
        <v>415</v>
      </c>
      <c r="C200" s="182" t="s">
        <v>355</v>
      </c>
      <c r="D200" s="19">
        <v>10</v>
      </c>
      <c r="E200" s="19">
        <v>0.92</v>
      </c>
      <c r="F200" s="19">
        <v>0.48</v>
      </c>
      <c r="G200" s="19">
        <v>0.15</v>
      </c>
      <c r="H200" s="147">
        <v>50</v>
      </c>
      <c r="I200" s="2" t="s">
        <v>218</v>
      </c>
    </row>
    <row r="201" spans="1:9" x14ac:dyDescent="0.25">
      <c r="A201" t="s">
        <v>334</v>
      </c>
      <c r="B201" t="s">
        <v>560</v>
      </c>
      <c r="C201" s="207" t="s">
        <v>242</v>
      </c>
      <c r="D201" s="177">
        <v>7</v>
      </c>
      <c r="E201" s="177">
        <v>0.53</v>
      </c>
      <c r="F201" s="177">
        <v>0.37</v>
      </c>
      <c r="G201" s="177">
        <v>0.18</v>
      </c>
      <c r="H201" s="148">
        <v>100</v>
      </c>
      <c r="I201" s="2" t="s">
        <v>218</v>
      </c>
    </row>
    <row r="202" spans="1:9" x14ac:dyDescent="0.25">
      <c r="A202" t="s">
        <v>334</v>
      </c>
      <c r="B202" t="s">
        <v>405</v>
      </c>
      <c r="C202" s="208" t="s">
        <v>243</v>
      </c>
      <c r="D202" s="178">
        <v>4</v>
      </c>
      <c r="E202" s="178">
        <v>0.33</v>
      </c>
      <c r="F202" s="178">
        <v>0.63</v>
      </c>
      <c r="G202" s="178">
        <v>0.17</v>
      </c>
      <c r="H202" s="64">
        <v>50</v>
      </c>
      <c r="I202" s="2" t="s">
        <v>218</v>
      </c>
    </row>
    <row r="203" spans="1:9" x14ac:dyDescent="0.25">
      <c r="A203" t="s">
        <v>334</v>
      </c>
      <c r="B203" t="s">
        <v>468</v>
      </c>
      <c r="C203" s="207" t="s">
        <v>244</v>
      </c>
      <c r="D203" s="177">
        <v>0</v>
      </c>
      <c r="E203" s="177">
        <v>0</v>
      </c>
      <c r="F203" s="177">
        <v>0</v>
      </c>
      <c r="G203" s="177">
        <v>0</v>
      </c>
      <c r="H203" s="148">
        <v>100</v>
      </c>
      <c r="I203" s="2" t="s">
        <v>218</v>
      </c>
    </row>
    <row r="204" spans="1:9" x14ac:dyDescent="0.25">
      <c r="A204" t="s">
        <v>334</v>
      </c>
      <c r="B204" t="s">
        <v>561</v>
      </c>
      <c r="C204" s="207" t="s">
        <v>98</v>
      </c>
      <c r="D204" s="177">
        <v>5</v>
      </c>
      <c r="E204" s="177">
        <v>0.72</v>
      </c>
      <c r="F204" s="177">
        <v>0.38</v>
      </c>
      <c r="G204" s="177">
        <v>0.24</v>
      </c>
      <c r="H204" s="148">
        <v>50</v>
      </c>
      <c r="I204" s="2" t="s">
        <v>218</v>
      </c>
    </row>
    <row r="205" spans="1:9" x14ac:dyDescent="0.25">
      <c r="A205" t="s">
        <v>334</v>
      </c>
      <c r="B205" t="s">
        <v>411</v>
      </c>
      <c r="C205" s="207" t="s">
        <v>99</v>
      </c>
      <c r="D205" s="177">
        <v>6</v>
      </c>
      <c r="E205" s="177">
        <v>0.8</v>
      </c>
      <c r="F205" s="177">
        <v>0.4</v>
      </c>
      <c r="G205" s="177">
        <v>0.15</v>
      </c>
      <c r="H205" s="148">
        <v>50</v>
      </c>
      <c r="I205" s="2" t="s">
        <v>218</v>
      </c>
    </row>
    <row r="206" spans="1:9" x14ac:dyDescent="0.25">
      <c r="A206" t="s">
        <v>334</v>
      </c>
      <c r="B206" t="s">
        <v>415</v>
      </c>
      <c r="C206" s="207" t="s">
        <v>247</v>
      </c>
      <c r="D206" s="177">
        <v>10</v>
      </c>
      <c r="E206" s="177">
        <v>0.92</v>
      </c>
      <c r="F206" s="177">
        <v>0.48</v>
      </c>
      <c r="G206" s="177">
        <v>0.15</v>
      </c>
      <c r="H206" s="148">
        <v>50</v>
      </c>
      <c r="I206" s="2" t="s">
        <v>218</v>
      </c>
    </row>
    <row r="207" spans="1:9" x14ac:dyDescent="0.25">
      <c r="A207" t="s">
        <v>332</v>
      </c>
      <c r="B207" t="s">
        <v>411</v>
      </c>
      <c r="C207" s="182" t="s">
        <v>351</v>
      </c>
      <c r="D207" s="19">
        <v>6.5</v>
      </c>
      <c r="E207" s="19">
        <v>0.8</v>
      </c>
      <c r="F207" s="19">
        <v>0.4</v>
      </c>
      <c r="G207" s="19">
        <v>0.15</v>
      </c>
      <c r="H207" s="147">
        <v>50</v>
      </c>
      <c r="I207" s="2" t="s">
        <v>218</v>
      </c>
    </row>
    <row r="208" spans="1:9" x14ac:dyDescent="0.25">
      <c r="A208" t="s">
        <v>332</v>
      </c>
      <c r="B208" t="s">
        <v>413</v>
      </c>
      <c r="C208" s="182" t="s">
        <v>354</v>
      </c>
      <c r="D208" s="19">
        <v>7</v>
      </c>
      <c r="E208" s="19">
        <v>0.86</v>
      </c>
      <c r="F208" s="19">
        <v>0.42</v>
      </c>
      <c r="G208" s="19">
        <v>0.15</v>
      </c>
      <c r="H208" s="147">
        <v>50</v>
      </c>
      <c r="I208" s="2" t="s">
        <v>218</v>
      </c>
    </row>
    <row r="209" spans="1:9" x14ac:dyDescent="0.25">
      <c r="A209" t="s">
        <v>332</v>
      </c>
      <c r="B209" t="s">
        <v>415</v>
      </c>
      <c r="C209" s="182" t="s">
        <v>355</v>
      </c>
      <c r="D209" s="19">
        <v>10</v>
      </c>
      <c r="E209" s="19">
        <v>0.92</v>
      </c>
      <c r="F209" s="19">
        <v>0.48</v>
      </c>
      <c r="G209" s="19">
        <v>0.15</v>
      </c>
      <c r="H209" s="147">
        <v>50</v>
      </c>
      <c r="I209" s="2" t="s">
        <v>218</v>
      </c>
    </row>
    <row r="210" spans="1:9" x14ac:dyDescent="0.25">
      <c r="A210" t="s">
        <v>333</v>
      </c>
      <c r="B210" t="s">
        <v>562</v>
      </c>
      <c r="C210" s="182" t="s">
        <v>381</v>
      </c>
      <c r="D210" s="19">
        <v>5</v>
      </c>
      <c r="E210" s="19">
        <v>0.41</v>
      </c>
      <c r="F210" s="19">
        <v>0.35</v>
      </c>
      <c r="G210" s="19">
        <v>0.5</v>
      </c>
      <c r="H210" s="147">
        <v>100</v>
      </c>
      <c r="I210" s="2" t="s">
        <v>218</v>
      </c>
    </row>
    <row r="211" spans="1:9" x14ac:dyDescent="0.25">
      <c r="A211" t="s">
        <v>333</v>
      </c>
      <c r="B211" t="s">
        <v>563</v>
      </c>
      <c r="C211" s="182" t="s">
        <v>382</v>
      </c>
      <c r="D211" s="19">
        <v>8</v>
      </c>
      <c r="E211" s="19">
        <v>0.65</v>
      </c>
      <c r="F211" s="19">
        <v>0.35</v>
      </c>
      <c r="G211" s="19">
        <v>0.5</v>
      </c>
      <c r="H211" s="147">
        <v>100</v>
      </c>
      <c r="I211" s="2" t="s">
        <v>218</v>
      </c>
    </row>
    <row r="212" spans="1:9" x14ac:dyDescent="0.25">
      <c r="A212" t="s">
        <v>333</v>
      </c>
      <c r="B212" t="s">
        <v>564</v>
      </c>
      <c r="C212" s="182" t="s">
        <v>383</v>
      </c>
      <c r="D212" s="19">
        <v>12</v>
      </c>
      <c r="E212" s="19">
        <v>0.65</v>
      </c>
      <c r="F212" s="19">
        <v>0.55000000000000004</v>
      </c>
      <c r="G212" s="19">
        <v>0.6</v>
      </c>
      <c r="H212" s="147">
        <v>100</v>
      </c>
      <c r="I212" s="2" t="s">
        <v>218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4"/>
  <sheetViews>
    <sheetView showGridLines="0" zoomScale="98" zoomScaleNormal="98" workbookViewId="0">
      <selection sqref="A1:F1"/>
    </sheetView>
  </sheetViews>
  <sheetFormatPr defaultRowHeight="15.75" x14ac:dyDescent="0.25"/>
  <cols>
    <col min="1" max="1" width="23.5703125" bestFit="1" customWidth="1"/>
    <col min="2" max="2" width="10.28515625" bestFit="1" customWidth="1"/>
    <col min="3" max="3" width="6.7109375" bestFit="1" customWidth="1"/>
    <col min="4" max="4" width="7.140625" bestFit="1" customWidth="1"/>
    <col min="5" max="5" width="9.85546875" bestFit="1" customWidth="1"/>
    <col min="6" max="6" width="8.28515625" customWidth="1"/>
    <col min="7" max="7" width="8.28515625" style="3" customWidth="1"/>
    <col min="8" max="8" width="9.140625" style="95" bestFit="1" customWidth="1"/>
    <col min="9" max="9" width="9.85546875" style="5" customWidth="1"/>
    <col min="10" max="10" width="11.28515625" style="86" customWidth="1"/>
    <col min="11" max="11" width="10.28515625" style="87" customWidth="1"/>
    <col min="12" max="12" width="9.42578125" style="3" customWidth="1"/>
    <col min="13" max="13" width="15" style="3" bestFit="1" customWidth="1"/>
    <col min="14" max="14" width="11.28515625" style="3" bestFit="1" customWidth="1"/>
    <col min="15" max="15" width="9.140625" style="3"/>
    <col min="18" max="18" width="16.5703125" customWidth="1"/>
    <col min="19" max="19" width="5.42578125" customWidth="1"/>
    <col min="20" max="20" width="6.5703125" customWidth="1"/>
    <col min="21" max="21" width="11" customWidth="1"/>
    <col min="22" max="22" width="5.85546875" bestFit="1" customWidth="1"/>
    <col min="23" max="24" width="6.7109375" customWidth="1"/>
    <col min="25" max="25" width="8.140625" customWidth="1"/>
    <col min="26" max="26" width="4.7109375" style="3" customWidth="1"/>
    <col min="27" max="27" width="6.85546875" style="7" customWidth="1"/>
    <col min="28" max="28" width="9.28515625" bestFit="1" customWidth="1"/>
  </cols>
  <sheetData>
    <row r="1" spans="1:30" x14ac:dyDescent="0.25">
      <c r="A1" s="261" t="s">
        <v>0</v>
      </c>
      <c r="B1" s="261"/>
      <c r="C1" s="261"/>
      <c r="D1" s="261"/>
      <c r="E1" s="261"/>
      <c r="F1" s="261"/>
      <c r="G1" s="70"/>
      <c r="H1" s="3"/>
      <c r="I1"/>
      <c r="J1"/>
      <c r="K1"/>
    </row>
    <row r="2" spans="1:30" x14ac:dyDescent="0.25">
      <c r="A2" s="93" t="s">
        <v>1</v>
      </c>
      <c r="B2" s="93" t="s">
        <v>2</v>
      </c>
      <c r="C2" s="93" t="s">
        <v>3</v>
      </c>
      <c r="D2" s="93" t="s">
        <v>4</v>
      </c>
      <c r="E2" s="93" t="s">
        <v>5</v>
      </c>
      <c r="F2" s="93" t="s">
        <v>6</v>
      </c>
      <c r="G2" s="2" t="s">
        <v>7</v>
      </c>
      <c r="H2" s="88" t="s">
        <v>8</v>
      </c>
      <c r="I2" s="82" t="s">
        <v>9</v>
      </c>
      <c r="J2" s="82" t="s">
        <v>10</v>
      </c>
      <c r="K2" s="71" t="s">
        <v>11</v>
      </c>
      <c r="L2" s="2" t="s">
        <v>289</v>
      </c>
      <c r="M2" s="70" t="s">
        <v>290</v>
      </c>
      <c r="N2" s="2" t="s">
        <v>291</v>
      </c>
      <c r="O2" s="2" t="s">
        <v>292</v>
      </c>
      <c r="P2" s="18" t="s">
        <v>287</v>
      </c>
      <c r="R2" s="131"/>
      <c r="S2" s="84"/>
    </row>
    <row r="3" spans="1:30" x14ac:dyDescent="0.25">
      <c r="A3" s="93" t="s">
        <v>12</v>
      </c>
      <c r="B3" s="93">
        <v>5</v>
      </c>
      <c r="C3" s="93">
        <v>0.28999999999999998</v>
      </c>
      <c r="D3" s="93">
        <v>0.37</v>
      </c>
      <c r="E3" s="93">
        <v>0.18</v>
      </c>
      <c r="F3" s="93">
        <v>50</v>
      </c>
      <c r="G3" s="70"/>
      <c r="H3" s="89">
        <v>1040</v>
      </c>
      <c r="I3" s="81">
        <f>H3/F3</f>
        <v>20.8</v>
      </c>
      <c r="J3" s="81">
        <f>B3*I3</f>
        <v>104</v>
      </c>
      <c r="K3" s="80">
        <f>I3*C3*D3*E3</f>
        <v>0.40173120000000001</v>
      </c>
      <c r="L3" s="70">
        <f>+H3/F3</f>
        <v>20.8</v>
      </c>
      <c r="M3" s="150">
        <f>+C3*D3*E3</f>
        <v>1.9313999999999998E-2</v>
      </c>
      <c r="N3" s="151">
        <f>+L3*M3</f>
        <v>0.40173119999999995</v>
      </c>
      <c r="O3" s="153">
        <f>+L3*B3</f>
        <v>104</v>
      </c>
      <c r="P3" s="149">
        <f>+C3*D3*E3*I3</f>
        <v>0.40173119999999995</v>
      </c>
      <c r="R3" s="102" t="s">
        <v>13</v>
      </c>
      <c r="S3" s="84"/>
    </row>
    <row r="4" spans="1:30" x14ac:dyDescent="0.25">
      <c r="A4" s="93" t="s">
        <v>14</v>
      </c>
      <c r="B4" s="93">
        <v>4.5</v>
      </c>
      <c r="C4" s="93">
        <v>0.35</v>
      </c>
      <c r="D4" s="93">
        <v>0.46</v>
      </c>
      <c r="E4" s="93">
        <v>0.17</v>
      </c>
      <c r="F4" s="93">
        <v>100</v>
      </c>
      <c r="G4" s="70"/>
      <c r="H4" s="89">
        <v>527</v>
      </c>
      <c r="I4" s="81">
        <f>H4/F4</f>
        <v>5.27</v>
      </c>
      <c r="J4" s="81">
        <f t="shared" ref="J4:J25" si="0">B4*I4</f>
        <v>23.714999999999996</v>
      </c>
      <c r="K4" s="80">
        <f t="shared" ref="K4:K25" si="1">I4*C4*D4*E4</f>
        <v>0.1442399</v>
      </c>
      <c r="L4" s="70">
        <f t="shared" ref="L4:L25" si="2">+H4/F4</f>
        <v>5.27</v>
      </c>
      <c r="M4" s="150">
        <f t="shared" ref="M4:M24" si="3">+C4*D4*E4</f>
        <v>2.7370000000000002E-2</v>
      </c>
      <c r="N4" s="151">
        <f t="shared" ref="N4:N24" si="4">+L4*M4</f>
        <v>0.1442399</v>
      </c>
      <c r="O4" s="153">
        <f t="shared" ref="O4:O67" si="5">+L4*B4</f>
        <v>23.714999999999996</v>
      </c>
      <c r="P4" s="149">
        <f t="shared" ref="P4:P67" si="6">+C4*D4*E4*I4</f>
        <v>0.1442399</v>
      </c>
      <c r="R4" s="102" t="s">
        <v>15</v>
      </c>
      <c r="S4" s="84"/>
    </row>
    <row r="5" spans="1:30" x14ac:dyDescent="0.25">
      <c r="A5" s="93" t="s">
        <v>16</v>
      </c>
      <c r="B5" s="93">
        <v>3</v>
      </c>
      <c r="C5" s="93">
        <v>0.44</v>
      </c>
      <c r="D5" s="93">
        <v>0.45</v>
      </c>
      <c r="E5" s="93">
        <v>0.14000000000000001</v>
      </c>
      <c r="F5" s="93">
        <v>50</v>
      </c>
      <c r="G5" s="70"/>
      <c r="H5" s="89">
        <v>500</v>
      </c>
      <c r="I5" s="81">
        <f t="shared" ref="I5:I132" si="7">H5/F5</f>
        <v>10</v>
      </c>
      <c r="J5" s="81">
        <f t="shared" si="0"/>
        <v>30</v>
      </c>
      <c r="K5" s="80">
        <f t="shared" si="1"/>
        <v>0.27720000000000006</v>
      </c>
      <c r="L5" s="70">
        <f t="shared" si="2"/>
        <v>10</v>
      </c>
      <c r="M5" s="150">
        <f t="shared" si="3"/>
        <v>2.7720000000000005E-2</v>
      </c>
      <c r="N5" s="151">
        <f t="shared" si="4"/>
        <v>0.27720000000000006</v>
      </c>
      <c r="O5" s="153">
        <f t="shared" si="5"/>
        <v>30</v>
      </c>
      <c r="P5" s="149">
        <f t="shared" si="6"/>
        <v>0.27720000000000006</v>
      </c>
      <c r="R5" s="102"/>
      <c r="S5" s="84"/>
    </row>
    <row r="6" spans="1:30" x14ac:dyDescent="0.25">
      <c r="A6" s="93" t="s">
        <v>17</v>
      </c>
      <c r="B6" s="93">
        <v>3.5</v>
      </c>
      <c r="C6" s="93">
        <v>0.64</v>
      </c>
      <c r="D6" s="93">
        <v>0.32</v>
      </c>
      <c r="E6" s="93">
        <v>0.19</v>
      </c>
      <c r="F6" s="93">
        <v>50</v>
      </c>
      <c r="G6" s="70"/>
      <c r="H6" s="89">
        <v>500</v>
      </c>
      <c r="I6" s="81">
        <f>H6/F6</f>
        <v>10</v>
      </c>
      <c r="J6" s="81">
        <f t="shared" si="0"/>
        <v>35</v>
      </c>
      <c r="K6" s="80">
        <f t="shared" si="1"/>
        <v>0.38912000000000002</v>
      </c>
      <c r="L6" s="70">
        <f t="shared" si="2"/>
        <v>10</v>
      </c>
      <c r="M6" s="150">
        <f t="shared" si="3"/>
        <v>3.8912000000000002E-2</v>
      </c>
      <c r="N6" s="151">
        <f t="shared" si="4"/>
        <v>0.38912000000000002</v>
      </c>
      <c r="O6" s="153">
        <f t="shared" si="5"/>
        <v>35</v>
      </c>
      <c r="P6" s="149">
        <f t="shared" si="6"/>
        <v>0.38912000000000002</v>
      </c>
      <c r="R6" s="102"/>
      <c r="S6" s="84"/>
    </row>
    <row r="7" spans="1:30" x14ac:dyDescent="0.25">
      <c r="A7" s="93" t="s">
        <v>18</v>
      </c>
      <c r="B7" s="93">
        <v>8</v>
      </c>
      <c r="C7" s="93">
        <v>0.53</v>
      </c>
      <c r="D7" s="93">
        <v>0.38</v>
      </c>
      <c r="E7" s="93">
        <v>0.15</v>
      </c>
      <c r="F7" s="93">
        <v>25</v>
      </c>
      <c r="G7" s="70"/>
      <c r="H7" s="89">
        <v>1245</v>
      </c>
      <c r="I7" s="81">
        <f t="shared" ref="I7:I10" si="8">H7/F7</f>
        <v>49.8</v>
      </c>
      <c r="J7" s="81">
        <f t="shared" si="0"/>
        <v>398.4</v>
      </c>
      <c r="K7" s="80">
        <f t="shared" si="1"/>
        <v>1.5044579999999999</v>
      </c>
      <c r="L7" s="70">
        <f t="shared" si="2"/>
        <v>49.8</v>
      </c>
      <c r="M7" s="150">
        <f t="shared" si="3"/>
        <v>3.0210000000000001E-2</v>
      </c>
      <c r="N7" s="151">
        <f t="shared" si="4"/>
        <v>1.5044579999999999</v>
      </c>
      <c r="O7" s="153">
        <f t="shared" si="5"/>
        <v>398.4</v>
      </c>
      <c r="P7" s="149">
        <f t="shared" si="6"/>
        <v>1.5044579999999999</v>
      </c>
      <c r="R7" s="102"/>
      <c r="S7" s="84"/>
    </row>
    <row r="8" spans="1:30" x14ac:dyDescent="0.25">
      <c r="A8" s="93" t="s">
        <v>19</v>
      </c>
      <c r="B8" s="93">
        <v>8</v>
      </c>
      <c r="C8" s="93">
        <v>0.87</v>
      </c>
      <c r="D8" s="93">
        <v>0.39</v>
      </c>
      <c r="E8" s="93">
        <v>0.14000000000000001</v>
      </c>
      <c r="F8" s="93">
        <v>50</v>
      </c>
      <c r="G8" s="70"/>
      <c r="H8" s="89">
        <v>1000</v>
      </c>
      <c r="I8" s="81">
        <f t="shared" si="8"/>
        <v>20</v>
      </c>
      <c r="J8" s="81">
        <f t="shared" si="0"/>
        <v>160</v>
      </c>
      <c r="K8" s="80">
        <f t="shared" si="1"/>
        <v>0.95004</v>
      </c>
      <c r="L8" s="70">
        <f t="shared" si="2"/>
        <v>20</v>
      </c>
      <c r="M8" s="150">
        <f t="shared" si="3"/>
        <v>4.7502000000000003E-2</v>
      </c>
      <c r="N8" s="151">
        <f t="shared" si="4"/>
        <v>0.95004</v>
      </c>
      <c r="O8" s="153">
        <f t="shared" si="5"/>
        <v>160</v>
      </c>
      <c r="P8" s="149">
        <f t="shared" si="6"/>
        <v>0.95004</v>
      </c>
      <c r="R8" s="102"/>
      <c r="S8" s="84"/>
    </row>
    <row r="9" spans="1:30" x14ac:dyDescent="0.25">
      <c r="A9" s="93" t="s">
        <v>20</v>
      </c>
      <c r="B9" s="93">
        <v>6</v>
      </c>
      <c r="C9" s="93">
        <v>0.72</v>
      </c>
      <c r="D9" s="93">
        <v>0.36</v>
      </c>
      <c r="E9" s="93">
        <v>0.14000000000000001</v>
      </c>
      <c r="F9" s="93">
        <v>100</v>
      </c>
      <c r="G9" s="70"/>
      <c r="H9" s="89">
        <v>1000</v>
      </c>
      <c r="I9" s="81">
        <f>H9/F9</f>
        <v>10</v>
      </c>
      <c r="J9" s="81">
        <f t="shared" si="0"/>
        <v>60</v>
      </c>
      <c r="K9" s="80">
        <f t="shared" si="1"/>
        <v>0.36287999999999998</v>
      </c>
      <c r="L9" s="70">
        <f t="shared" si="2"/>
        <v>10</v>
      </c>
      <c r="M9" s="150">
        <f t="shared" si="3"/>
        <v>3.6288000000000001E-2</v>
      </c>
      <c r="N9" s="151">
        <f t="shared" si="4"/>
        <v>0.36287999999999998</v>
      </c>
      <c r="O9" s="153">
        <f t="shared" si="5"/>
        <v>60</v>
      </c>
      <c r="P9" s="149">
        <f t="shared" si="6"/>
        <v>0.36287999999999998</v>
      </c>
      <c r="R9" s="102"/>
      <c r="S9" s="84"/>
    </row>
    <row r="10" spans="1:30" x14ac:dyDescent="0.25">
      <c r="A10" s="93" t="s">
        <v>21</v>
      </c>
      <c r="B10" s="93">
        <v>5</v>
      </c>
      <c r="C10" s="93">
        <v>0.74</v>
      </c>
      <c r="D10" s="93">
        <v>0.49</v>
      </c>
      <c r="E10" s="93">
        <v>0.15</v>
      </c>
      <c r="F10" s="93">
        <v>50</v>
      </c>
      <c r="G10" s="70"/>
      <c r="H10" s="89">
        <f>-[1]RICHARD!$A$129</f>
        <v>0</v>
      </c>
      <c r="I10" s="81">
        <f t="shared" si="8"/>
        <v>0</v>
      </c>
      <c r="J10" s="81">
        <f t="shared" si="0"/>
        <v>0</v>
      </c>
      <c r="K10" s="80">
        <f t="shared" si="1"/>
        <v>0</v>
      </c>
      <c r="L10" s="70">
        <f t="shared" si="2"/>
        <v>0</v>
      </c>
      <c r="M10" s="150">
        <f t="shared" si="3"/>
        <v>5.4389999999999994E-2</v>
      </c>
      <c r="N10" s="151">
        <f t="shared" si="4"/>
        <v>0</v>
      </c>
      <c r="O10" s="153">
        <f t="shared" si="5"/>
        <v>0</v>
      </c>
      <c r="P10" s="149">
        <f t="shared" si="6"/>
        <v>0</v>
      </c>
      <c r="R10" s="102"/>
      <c r="S10" s="84"/>
    </row>
    <row r="11" spans="1:30" x14ac:dyDescent="0.25">
      <c r="A11" s="93" t="s">
        <v>22</v>
      </c>
      <c r="B11" s="93">
        <v>5.5</v>
      </c>
      <c r="C11" s="93">
        <v>0.72</v>
      </c>
      <c r="D11" s="93">
        <v>0.38</v>
      </c>
      <c r="E11" s="93">
        <v>0.14000000000000001</v>
      </c>
      <c r="F11" s="93">
        <v>50</v>
      </c>
      <c r="G11" s="70"/>
      <c r="H11" s="89">
        <v>500</v>
      </c>
      <c r="I11" s="81">
        <f>H11/F11</f>
        <v>10</v>
      </c>
      <c r="J11" s="81">
        <f>B11*I11</f>
        <v>55</v>
      </c>
      <c r="K11" s="80">
        <f>I11*C11*D11*E11</f>
        <v>0.38303999999999999</v>
      </c>
      <c r="L11" s="70">
        <f t="shared" si="2"/>
        <v>10</v>
      </c>
      <c r="M11" s="150">
        <f t="shared" si="3"/>
        <v>3.8304000000000005E-2</v>
      </c>
      <c r="N11" s="151">
        <f t="shared" si="4"/>
        <v>0.38304000000000005</v>
      </c>
      <c r="O11" s="153">
        <f t="shared" si="5"/>
        <v>55</v>
      </c>
      <c r="P11" s="149">
        <f t="shared" si="6"/>
        <v>0.38304000000000005</v>
      </c>
      <c r="R11" s="102"/>
      <c r="S11" s="84"/>
    </row>
    <row r="12" spans="1:30" x14ac:dyDescent="0.25">
      <c r="A12" s="93" t="s">
        <v>23</v>
      </c>
      <c r="B12" s="93">
        <v>8.5</v>
      </c>
      <c r="C12" s="93">
        <v>0.73</v>
      </c>
      <c r="D12" s="93">
        <v>0.44</v>
      </c>
      <c r="E12" s="93">
        <v>0.14000000000000001</v>
      </c>
      <c r="F12" s="93">
        <v>50</v>
      </c>
      <c r="G12" s="70"/>
      <c r="H12" s="89">
        <v>1962</v>
      </c>
      <c r="I12" s="81">
        <f t="shared" si="7"/>
        <v>39.24</v>
      </c>
      <c r="J12" s="81">
        <f t="shared" si="0"/>
        <v>333.54</v>
      </c>
      <c r="K12" s="80">
        <f t="shared" si="1"/>
        <v>1.7645443200000002</v>
      </c>
      <c r="L12" s="70">
        <f t="shared" si="2"/>
        <v>39.24</v>
      </c>
      <c r="M12" s="150">
        <f t="shared" si="3"/>
        <v>4.4968000000000001E-2</v>
      </c>
      <c r="N12" s="151">
        <f t="shared" si="4"/>
        <v>1.7645443200000002</v>
      </c>
      <c r="O12" s="153">
        <f t="shared" si="5"/>
        <v>333.54</v>
      </c>
      <c r="P12" s="149">
        <f t="shared" si="6"/>
        <v>1.7645443200000002</v>
      </c>
      <c r="R12" s="102"/>
      <c r="S12" s="84"/>
    </row>
    <row r="13" spans="1:30" x14ac:dyDescent="0.25">
      <c r="A13" s="93" t="s">
        <v>24</v>
      </c>
      <c r="B13" s="93">
        <v>8.5</v>
      </c>
      <c r="C13" s="93">
        <v>0.82</v>
      </c>
      <c r="D13" s="93">
        <v>0.42</v>
      </c>
      <c r="E13" s="93">
        <v>0.14000000000000001</v>
      </c>
      <c r="F13" s="93">
        <v>50</v>
      </c>
      <c r="G13" s="70"/>
      <c r="H13" s="89">
        <v>500</v>
      </c>
      <c r="I13" s="81">
        <f>H13/F13</f>
        <v>10</v>
      </c>
      <c r="J13" s="81">
        <f t="shared" si="0"/>
        <v>85</v>
      </c>
      <c r="K13" s="80">
        <f t="shared" si="1"/>
        <v>0.48215999999999998</v>
      </c>
      <c r="L13" s="70">
        <f t="shared" si="2"/>
        <v>10</v>
      </c>
      <c r="M13" s="150">
        <f t="shared" si="3"/>
        <v>4.8216000000000002E-2</v>
      </c>
      <c r="N13" s="151">
        <f t="shared" si="4"/>
        <v>0.48216000000000003</v>
      </c>
      <c r="O13" s="153">
        <f t="shared" si="5"/>
        <v>85</v>
      </c>
      <c r="P13" s="149">
        <f t="shared" si="6"/>
        <v>0.48216000000000003</v>
      </c>
      <c r="R13" s="102"/>
      <c r="S13" s="84"/>
    </row>
    <row r="14" spans="1:30" x14ac:dyDescent="0.25">
      <c r="A14" s="93" t="s">
        <v>25</v>
      </c>
      <c r="B14" s="93">
        <v>9</v>
      </c>
      <c r="C14" s="93">
        <v>0.86</v>
      </c>
      <c r="D14" s="93">
        <v>0.47</v>
      </c>
      <c r="E14" s="93">
        <v>0.14000000000000001</v>
      </c>
      <c r="F14" s="93">
        <v>50</v>
      </c>
      <c r="G14" s="70"/>
      <c r="H14" s="89">
        <v>1000</v>
      </c>
      <c r="I14" s="81">
        <f>H14/F14</f>
        <v>20</v>
      </c>
      <c r="J14" s="81">
        <f t="shared" si="0"/>
        <v>180</v>
      </c>
      <c r="K14" s="80">
        <f t="shared" si="1"/>
        <v>1.1317600000000001</v>
      </c>
      <c r="L14" s="70">
        <f t="shared" si="2"/>
        <v>20</v>
      </c>
      <c r="M14" s="150">
        <f t="shared" si="3"/>
        <v>5.6587999999999999E-2</v>
      </c>
      <c r="N14" s="151">
        <f t="shared" si="4"/>
        <v>1.1317599999999999</v>
      </c>
      <c r="O14" s="153">
        <f t="shared" si="5"/>
        <v>180</v>
      </c>
      <c r="P14" s="149">
        <f t="shared" si="6"/>
        <v>1.1317599999999999</v>
      </c>
      <c r="R14" s="102"/>
      <c r="S14" s="84"/>
    </row>
    <row r="15" spans="1:30" x14ac:dyDescent="0.25">
      <c r="A15" s="93" t="s">
        <v>26</v>
      </c>
      <c r="B15" s="93">
        <v>4.5999999999999996</v>
      </c>
      <c r="C15" s="93">
        <v>0.5</v>
      </c>
      <c r="D15" s="93">
        <v>0.5</v>
      </c>
      <c r="E15" s="93">
        <v>0.2</v>
      </c>
      <c r="F15" s="93">
        <v>25</v>
      </c>
      <c r="G15" s="70" t="s">
        <v>27</v>
      </c>
      <c r="H15" s="89">
        <v>492</v>
      </c>
      <c r="I15" s="81">
        <f>H15/F15</f>
        <v>19.68</v>
      </c>
      <c r="J15" s="81">
        <f t="shared" si="0"/>
        <v>90.527999999999992</v>
      </c>
      <c r="K15" s="80">
        <f t="shared" si="1"/>
        <v>0.98399999999999999</v>
      </c>
      <c r="L15" s="70">
        <f t="shared" si="2"/>
        <v>19.68</v>
      </c>
      <c r="M15" s="150">
        <f t="shared" si="3"/>
        <v>0.05</v>
      </c>
      <c r="N15" s="151">
        <f t="shared" si="4"/>
        <v>0.98399999999999999</v>
      </c>
      <c r="O15" s="153">
        <f t="shared" si="5"/>
        <v>90.527999999999992</v>
      </c>
      <c r="P15" s="149">
        <f t="shared" si="6"/>
        <v>0.98399999999999999</v>
      </c>
      <c r="R15" s="102"/>
      <c r="S15" s="84"/>
    </row>
    <row r="16" spans="1:30" ht="15" customHeight="1" x14ac:dyDescent="0.25">
      <c r="A16" s="93" t="s">
        <v>28</v>
      </c>
      <c r="B16" s="93">
        <v>9</v>
      </c>
      <c r="C16" s="93">
        <v>0.95</v>
      </c>
      <c r="D16" s="13">
        <v>0.5</v>
      </c>
      <c r="E16" s="93">
        <v>0.15</v>
      </c>
      <c r="F16" s="93">
        <v>50</v>
      </c>
      <c r="G16" s="2" t="s">
        <v>29</v>
      </c>
      <c r="H16" s="89">
        <v>500</v>
      </c>
      <c r="I16" s="81">
        <f>H16/F16</f>
        <v>10</v>
      </c>
      <c r="J16" s="81">
        <f t="shared" si="0"/>
        <v>90</v>
      </c>
      <c r="K16" s="80">
        <f t="shared" si="1"/>
        <v>0.71250000000000002</v>
      </c>
      <c r="L16" s="70">
        <f t="shared" si="2"/>
        <v>10</v>
      </c>
      <c r="M16" s="150">
        <f t="shared" si="3"/>
        <v>7.1249999999999994E-2</v>
      </c>
      <c r="N16" s="151">
        <f t="shared" si="4"/>
        <v>0.71249999999999991</v>
      </c>
      <c r="O16" s="153">
        <f t="shared" si="5"/>
        <v>90</v>
      </c>
      <c r="P16" s="149">
        <f t="shared" si="6"/>
        <v>0.71249999999999991</v>
      </c>
      <c r="S16" s="85"/>
      <c r="T16" s="31"/>
      <c r="U16" s="31"/>
      <c r="V16" s="31"/>
      <c r="W16" s="85"/>
      <c r="X16" s="85"/>
      <c r="Y16" s="9"/>
      <c r="Z16" s="14"/>
      <c r="AA16" s="10"/>
      <c r="AB16" s="11"/>
      <c r="AC16" s="11"/>
      <c r="AD16" s="11"/>
    </row>
    <row r="17" spans="1:30" ht="15" customHeight="1" x14ac:dyDescent="0.25">
      <c r="A17" s="93" t="s">
        <v>30</v>
      </c>
      <c r="B17" s="93">
        <v>11</v>
      </c>
      <c r="C17" s="93">
        <v>0.88</v>
      </c>
      <c r="D17" s="13">
        <v>0.56000000000000005</v>
      </c>
      <c r="E17" s="93">
        <v>0.13</v>
      </c>
      <c r="F17" s="93">
        <v>50</v>
      </c>
      <c r="G17" s="2"/>
      <c r="H17" s="89">
        <v>540</v>
      </c>
      <c r="I17" s="81">
        <f t="shared" si="7"/>
        <v>10.8</v>
      </c>
      <c r="J17" s="81">
        <f t="shared" si="0"/>
        <v>118.80000000000001</v>
      </c>
      <c r="K17" s="80">
        <f t="shared" si="1"/>
        <v>0.69189120000000026</v>
      </c>
      <c r="L17" s="70">
        <f t="shared" si="2"/>
        <v>10.8</v>
      </c>
      <c r="M17" s="150">
        <f t="shared" si="3"/>
        <v>6.406400000000001E-2</v>
      </c>
      <c r="N17" s="151">
        <f t="shared" si="4"/>
        <v>0.69189120000000015</v>
      </c>
      <c r="O17" s="153">
        <f t="shared" si="5"/>
        <v>118.80000000000001</v>
      </c>
      <c r="P17" s="149">
        <f t="shared" si="6"/>
        <v>0.69189120000000015</v>
      </c>
      <c r="S17" s="85"/>
      <c r="T17" s="31"/>
      <c r="U17" s="31"/>
      <c r="V17" s="31"/>
      <c r="W17" s="85"/>
      <c r="X17" s="85"/>
      <c r="Y17" s="9"/>
      <c r="Z17" s="12"/>
      <c r="AA17" s="10"/>
      <c r="AB17" s="11"/>
      <c r="AC17" s="11"/>
      <c r="AD17" s="11"/>
    </row>
    <row r="18" spans="1:30" ht="15" customHeight="1" x14ac:dyDescent="0.25">
      <c r="A18" s="93" t="s">
        <v>31</v>
      </c>
      <c r="B18" s="93">
        <v>6</v>
      </c>
      <c r="C18" s="93">
        <v>0.55000000000000004</v>
      </c>
      <c r="D18" s="93">
        <v>0.55000000000000004</v>
      </c>
      <c r="E18" s="13">
        <v>0.2</v>
      </c>
      <c r="F18" s="93">
        <v>25</v>
      </c>
      <c r="G18" s="2" t="s">
        <v>27</v>
      </c>
      <c r="H18" s="89">
        <v>500</v>
      </c>
      <c r="I18" s="81">
        <f t="shared" si="7"/>
        <v>20</v>
      </c>
      <c r="J18" s="81">
        <f t="shared" si="0"/>
        <v>120</v>
      </c>
      <c r="K18" s="80">
        <f t="shared" si="1"/>
        <v>1.2100000000000002</v>
      </c>
      <c r="L18" s="70">
        <f t="shared" si="2"/>
        <v>20</v>
      </c>
      <c r="M18" s="150">
        <f t="shared" si="3"/>
        <v>6.0500000000000012E-2</v>
      </c>
      <c r="N18" s="151">
        <f t="shared" si="4"/>
        <v>1.2100000000000002</v>
      </c>
      <c r="O18" s="153">
        <f t="shared" si="5"/>
        <v>120</v>
      </c>
      <c r="P18" s="149">
        <f t="shared" si="6"/>
        <v>1.2100000000000002</v>
      </c>
      <c r="S18" s="85"/>
      <c r="T18" s="31"/>
      <c r="U18" s="31"/>
      <c r="V18" s="31"/>
      <c r="W18" s="85"/>
      <c r="X18" s="85"/>
      <c r="Y18" s="9"/>
      <c r="Z18" s="12"/>
      <c r="AA18" s="10"/>
      <c r="AB18" s="11"/>
      <c r="AC18" s="11"/>
      <c r="AD18" s="11"/>
    </row>
    <row r="19" spans="1:30" ht="15" customHeight="1" x14ac:dyDescent="0.25">
      <c r="A19" s="93" t="s">
        <v>32</v>
      </c>
      <c r="B19" s="93">
        <v>8.5</v>
      </c>
      <c r="C19" s="93">
        <v>0.86</v>
      </c>
      <c r="D19" s="93">
        <v>0.47</v>
      </c>
      <c r="E19" s="93">
        <v>0.14000000000000001</v>
      </c>
      <c r="F19" s="93">
        <v>50</v>
      </c>
      <c r="G19" s="2" t="s">
        <v>29</v>
      </c>
      <c r="H19" s="89">
        <v>2100</v>
      </c>
      <c r="I19" s="81">
        <f>H19/F19</f>
        <v>42</v>
      </c>
      <c r="J19" s="81">
        <f t="shared" si="0"/>
        <v>357</v>
      </c>
      <c r="K19" s="80">
        <f t="shared" si="1"/>
        <v>2.3766959999999999</v>
      </c>
      <c r="L19" s="70">
        <f t="shared" si="2"/>
        <v>42</v>
      </c>
      <c r="M19" s="150">
        <f t="shared" si="3"/>
        <v>5.6587999999999999E-2</v>
      </c>
      <c r="N19" s="151">
        <f t="shared" si="4"/>
        <v>2.3766959999999999</v>
      </c>
      <c r="O19" s="153">
        <f t="shared" si="5"/>
        <v>357</v>
      </c>
      <c r="P19" s="149">
        <f t="shared" si="6"/>
        <v>2.3766959999999999</v>
      </c>
      <c r="S19" s="85"/>
      <c r="T19" s="31"/>
      <c r="U19" s="31"/>
      <c r="V19" s="31"/>
      <c r="W19" s="85"/>
      <c r="X19" s="85"/>
      <c r="Y19" s="9"/>
      <c r="Z19" s="12"/>
      <c r="AA19" s="10"/>
      <c r="AB19" s="11"/>
      <c r="AC19" s="11"/>
      <c r="AD19" s="11"/>
    </row>
    <row r="20" spans="1:30" ht="15" customHeight="1" x14ac:dyDescent="0.25">
      <c r="A20" s="93" t="s">
        <v>33</v>
      </c>
      <c r="B20" s="93">
        <v>3</v>
      </c>
      <c r="C20" s="93">
        <v>0.49</v>
      </c>
      <c r="D20" s="93">
        <v>0.24</v>
      </c>
      <c r="E20" s="93">
        <v>0.18</v>
      </c>
      <c r="F20" s="93">
        <v>100</v>
      </c>
      <c r="G20" s="2"/>
      <c r="H20" s="89">
        <v>400</v>
      </c>
      <c r="I20" s="81">
        <f>H20/F20</f>
        <v>4</v>
      </c>
      <c r="J20" s="81">
        <f t="shared" si="0"/>
        <v>12</v>
      </c>
      <c r="K20" s="80">
        <f t="shared" si="1"/>
        <v>8.4671999999999997E-2</v>
      </c>
      <c r="L20" s="70">
        <f t="shared" si="2"/>
        <v>4</v>
      </c>
      <c r="M20" s="150">
        <f t="shared" si="3"/>
        <v>2.1167999999999999E-2</v>
      </c>
      <c r="N20" s="151">
        <f t="shared" si="4"/>
        <v>8.4671999999999997E-2</v>
      </c>
      <c r="O20" s="153">
        <f t="shared" si="5"/>
        <v>12</v>
      </c>
      <c r="P20" s="149">
        <f t="shared" si="6"/>
        <v>8.4671999999999997E-2</v>
      </c>
      <c r="S20" s="85"/>
      <c r="T20" s="31"/>
      <c r="U20" s="31"/>
      <c r="V20" s="31"/>
      <c r="W20" s="85"/>
      <c r="X20" s="85"/>
      <c r="Y20" s="9"/>
      <c r="Z20" s="12"/>
      <c r="AA20" s="10"/>
      <c r="AB20" s="11"/>
      <c r="AC20" s="11"/>
      <c r="AD20" s="11"/>
    </row>
    <row r="21" spans="1:30" ht="15" customHeight="1" x14ac:dyDescent="0.25">
      <c r="A21" s="93" t="s">
        <v>34</v>
      </c>
      <c r="B21" s="93">
        <v>9</v>
      </c>
      <c r="C21" s="93">
        <v>0.43</v>
      </c>
      <c r="D21" s="93">
        <v>0.48</v>
      </c>
      <c r="E21" s="93">
        <v>0.19</v>
      </c>
      <c r="F21" s="93">
        <v>100</v>
      </c>
      <c r="G21" s="2"/>
      <c r="H21" s="89">
        <v>707</v>
      </c>
      <c r="I21" s="81">
        <f t="shared" si="7"/>
        <v>7.07</v>
      </c>
      <c r="J21" s="81">
        <f t="shared" si="0"/>
        <v>63.63</v>
      </c>
      <c r="K21" s="80">
        <f t="shared" si="1"/>
        <v>0.27725712000000002</v>
      </c>
      <c r="L21" s="70">
        <f t="shared" si="2"/>
        <v>7.07</v>
      </c>
      <c r="M21" s="150">
        <f t="shared" si="3"/>
        <v>3.9216000000000001E-2</v>
      </c>
      <c r="N21" s="151">
        <f t="shared" si="4"/>
        <v>0.27725712000000002</v>
      </c>
      <c r="O21" s="153">
        <f t="shared" si="5"/>
        <v>63.63</v>
      </c>
      <c r="P21" s="149">
        <f t="shared" si="6"/>
        <v>0.27725712000000002</v>
      </c>
      <c r="R21" s="78" t="s">
        <v>1</v>
      </c>
      <c r="S21" s="78" t="s">
        <v>2</v>
      </c>
      <c r="T21" s="78" t="s">
        <v>3</v>
      </c>
      <c r="U21" s="78" t="s">
        <v>4</v>
      </c>
      <c r="V21" s="78" t="s">
        <v>44</v>
      </c>
      <c r="W21" s="147" t="s">
        <v>215</v>
      </c>
      <c r="X21" s="2" t="s">
        <v>216</v>
      </c>
      <c r="Y21" s="88" t="s">
        <v>217</v>
      </c>
      <c r="Z21" s="82" t="s">
        <v>9</v>
      </c>
      <c r="AA21" s="82" t="s">
        <v>10</v>
      </c>
      <c r="AB21" s="49" t="s">
        <v>11</v>
      </c>
      <c r="AC21" s="11"/>
      <c r="AD21" s="11"/>
    </row>
    <row r="22" spans="1:30" ht="15" customHeight="1" x14ac:dyDescent="0.25">
      <c r="A22" s="93" t="s">
        <v>35</v>
      </c>
      <c r="B22" s="93">
        <v>7.5</v>
      </c>
      <c r="C22" s="93">
        <v>0.43</v>
      </c>
      <c r="D22" s="93">
        <v>0.82</v>
      </c>
      <c r="E22" s="93">
        <v>7.0000000000000007E-2</v>
      </c>
      <c r="F22" s="93">
        <v>50</v>
      </c>
      <c r="G22" s="2"/>
      <c r="H22" s="89">
        <v>300</v>
      </c>
      <c r="I22" s="81">
        <f>H22/F22</f>
        <v>6</v>
      </c>
      <c r="J22" s="81">
        <f t="shared" si="0"/>
        <v>45</v>
      </c>
      <c r="K22" s="80">
        <f t="shared" si="1"/>
        <v>0.14809200000000003</v>
      </c>
      <c r="L22" s="70">
        <f t="shared" si="2"/>
        <v>6</v>
      </c>
      <c r="M22" s="150">
        <f t="shared" si="3"/>
        <v>2.4681999999999999E-2</v>
      </c>
      <c r="N22" s="151">
        <f t="shared" si="4"/>
        <v>0.148092</v>
      </c>
      <c r="O22" s="153">
        <f t="shared" si="5"/>
        <v>45</v>
      </c>
      <c r="P22" s="149">
        <f t="shared" si="6"/>
        <v>0.148092</v>
      </c>
      <c r="R22" s="78" t="s">
        <v>49</v>
      </c>
      <c r="S22" s="78">
        <v>3</v>
      </c>
      <c r="T22" s="78">
        <v>0.28999999999999998</v>
      </c>
      <c r="U22" s="78">
        <v>0.57999999999999996</v>
      </c>
      <c r="V22" s="78">
        <v>0.17</v>
      </c>
      <c r="W22" s="147">
        <v>50</v>
      </c>
      <c r="X22" s="2" t="s">
        <v>29</v>
      </c>
      <c r="Y22" s="89">
        <v>100</v>
      </c>
      <c r="Z22" s="81">
        <f t="shared" ref="Z22:Z24" si="9">Y22/W22</f>
        <v>2</v>
      </c>
      <c r="AA22" s="81">
        <f t="shared" ref="AA22:AA23" si="10">S22*Z22</f>
        <v>6</v>
      </c>
      <c r="AB22" s="80">
        <f>Z22*T22*U22*V22</f>
        <v>5.7188000000000003E-2</v>
      </c>
      <c r="AC22" s="11"/>
      <c r="AD22" s="11"/>
    </row>
    <row r="23" spans="1:30" ht="15" customHeight="1" x14ac:dyDescent="0.25">
      <c r="A23" s="93" t="s">
        <v>36</v>
      </c>
      <c r="B23" s="93">
        <v>9</v>
      </c>
      <c r="C23" s="93">
        <v>0.86</v>
      </c>
      <c r="D23" s="93">
        <v>0.47</v>
      </c>
      <c r="E23" s="93">
        <v>0.14000000000000001</v>
      </c>
      <c r="F23" s="93">
        <v>50</v>
      </c>
      <c r="G23" s="2"/>
      <c r="H23" s="89">
        <v>600</v>
      </c>
      <c r="I23" s="81">
        <f t="shared" si="7"/>
        <v>12</v>
      </c>
      <c r="J23" s="81">
        <f t="shared" si="0"/>
        <v>108</v>
      </c>
      <c r="K23" s="80">
        <f t="shared" si="1"/>
        <v>0.67905599999999999</v>
      </c>
      <c r="L23" s="70">
        <f t="shared" si="2"/>
        <v>12</v>
      </c>
      <c r="M23" s="150">
        <f t="shared" si="3"/>
        <v>5.6587999999999999E-2</v>
      </c>
      <c r="N23" s="151">
        <f t="shared" si="4"/>
        <v>0.67905599999999999</v>
      </c>
      <c r="O23" s="153">
        <f t="shared" si="5"/>
        <v>108</v>
      </c>
      <c r="P23" s="149">
        <f t="shared" si="6"/>
        <v>0.67905599999999999</v>
      </c>
      <c r="R23" s="78" t="s">
        <v>60</v>
      </c>
      <c r="S23" s="78">
        <v>6.5</v>
      </c>
      <c r="T23" s="19">
        <v>0.8</v>
      </c>
      <c r="U23" s="19">
        <v>0.4</v>
      </c>
      <c r="V23" s="78">
        <v>0.15</v>
      </c>
      <c r="W23" s="147">
        <v>50</v>
      </c>
      <c r="X23" s="2" t="s">
        <v>218</v>
      </c>
      <c r="Y23" s="89">
        <v>50</v>
      </c>
      <c r="Z23" s="81">
        <f t="shared" si="9"/>
        <v>1</v>
      </c>
      <c r="AA23" s="81">
        <f t="shared" si="10"/>
        <v>6.5</v>
      </c>
      <c r="AB23" s="80">
        <f t="shared" ref="AB23" si="11">Z23*T23*U23*V23</f>
        <v>4.8000000000000008E-2</v>
      </c>
    </row>
    <row r="24" spans="1:30" ht="15" customHeight="1" x14ac:dyDescent="0.25">
      <c r="A24" s="93" t="s">
        <v>37</v>
      </c>
      <c r="B24" s="93">
        <v>12</v>
      </c>
      <c r="C24" s="93">
        <v>0.98</v>
      </c>
      <c r="D24" s="93">
        <v>0.49</v>
      </c>
      <c r="E24" s="93">
        <v>0.14000000000000001</v>
      </c>
      <c r="F24" s="93">
        <v>50</v>
      </c>
      <c r="G24" s="2"/>
      <c r="H24" s="89">
        <v>1000</v>
      </c>
      <c r="I24" s="81">
        <f t="shared" si="7"/>
        <v>20</v>
      </c>
      <c r="J24" s="81">
        <f t="shared" si="0"/>
        <v>240</v>
      </c>
      <c r="K24" s="80">
        <f t="shared" si="1"/>
        <v>1.3445600000000002</v>
      </c>
      <c r="L24" s="70">
        <f t="shared" si="2"/>
        <v>20</v>
      </c>
      <c r="M24" s="150">
        <f t="shared" si="3"/>
        <v>6.7227999999999996E-2</v>
      </c>
      <c r="N24" s="151">
        <f t="shared" si="4"/>
        <v>1.34456</v>
      </c>
      <c r="O24" s="153">
        <f t="shared" si="5"/>
        <v>240</v>
      </c>
      <c r="P24" s="149">
        <f t="shared" si="6"/>
        <v>1.34456</v>
      </c>
      <c r="R24" s="78" t="s">
        <v>59</v>
      </c>
      <c r="S24" s="78">
        <v>10</v>
      </c>
      <c r="T24" s="78">
        <v>0.92</v>
      </c>
      <c r="U24" s="78">
        <v>0.48</v>
      </c>
      <c r="V24" s="78">
        <v>0.15</v>
      </c>
      <c r="W24" s="147">
        <v>50</v>
      </c>
      <c r="X24" s="2" t="s">
        <v>218</v>
      </c>
      <c r="Y24" s="89">
        <v>800</v>
      </c>
      <c r="Z24" s="81">
        <f t="shared" si="9"/>
        <v>16</v>
      </c>
      <c r="AA24" s="81">
        <f>S24*Z24</f>
        <v>160</v>
      </c>
      <c r="AB24" s="80">
        <f>Z24*T24*U24*V24</f>
        <v>1.0598399999999999</v>
      </c>
    </row>
    <row r="25" spans="1:30" x14ac:dyDescent="0.25">
      <c r="A25" s="93" t="s">
        <v>38</v>
      </c>
      <c r="B25" s="93">
        <v>3</v>
      </c>
      <c r="C25" s="93">
        <v>0.43</v>
      </c>
      <c r="D25" s="93">
        <v>0.42</v>
      </c>
      <c r="E25" s="93">
        <v>0.12</v>
      </c>
      <c r="F25" s="93">
        <v>50</v>
      </c>
      <c r="G25" s="2"/>
      <c r="H25" s="89">
        <v>100</v>
      </c>
      <c r="I25" s="81">
        <f>H25/F25</f>
        <v>2</v>
      </c>
      <c r="J25" s="81">
        <f t="shared" si="0"/>
        <v>6</v>
      </c>
      <c r="K25" s="80">
        <f t="shared" si="1"/>
        <v>4.3343999999999994E-2</v>
      </c>
      <c r="L25" s="70">
        <f t="shared" si="2"/>
        <v>2</v>
      </c>
      <c r="M25" s="150">
        <f>+C25*D25*E25</f>
        <v>2.1671999999999997E-2</v>
      </c>
      <c r="N25" s="151">
        <f>+L25*M25</f>
        <v>4.3343999999999994E-2</v>
      </c>
      <c r="O25" s="153">
        <f t="shared" si="5"/>
        <v>6</v>
      </c>
      <c r="P25" s="149">
        <f t="shared" si="6"/>
        <v>4.3343999999999994E-2</v>
      </c>
      <c r="V25" s="6"/>
    </row>
    <row r="26" spans="1:30" x14ac:dyDescent="0.25">
      <c r="A26" s="262" t="s">
        <v>39</v>
      </c>
      <c r="B26" s="263"/>
      <c r="C26" s="263"/>
      <c r="D26" s="263"/>
      <c r="E26" s="263"/>
      <c r="F26" s="263"/>
      <c r="G26" s="263"/>
      <c r="H26" s="263"/>
      <c r="I26" s="263"/>
      <c r="J26" s="263"/>
      <c r="K26" s="264"/>
      <c r="O26" s="152">
        <f t="shared" si="5"/>
        <v>0</v>
      </c>
      <c r="P26" s="149">
        <f t="shared" si="6"/>
        <v>0</v>
      </c>
    </row>
    <row r="27" spans="1:30" x14ac:dyDescent="0.25">
      <c r="A27" s="90" t="s">
        <v>1</v>
      </c>
      <c r="B27" s="90" t="s">
        <v>2</v>
      </c>
      <c r="C27" s="90" t="s">
        <v>3</v>
      </c>
      <c r="D27" s="90" t="s">
        <v>4</v>
      </c>
      <c r="E27" s="90" t="s">
        <v>5</v>
      </c>
      <c r="F27" s="90" t="s">
        <v>6</v>
      </c>
      <c r="G27" s="100"/>
      <c r="H27" s="88" t="s">
        <v>8</v>
      </c>
      <c r="I27" s="82" t="s">
        <v>9</v>
      </c>
      <c r="J27" s="82" t="s">
        <v>10</v>
      </c>
      <c r="K27" s="49" t="s">
        <v>11</v>
      </c>
      <c r="O27" s="152" t="e">
        <f t="shared" si="5"/>
        <v>#VALUE!</v>
      </c>
      <c r="P27" s="149" t="e">
        <f t="shared" si="6"/>
        <v>#VALUE!</v>
      </c>
    </row>
    <row r="28" spans="1:30" x14ac:dyDescent="0.25">
      <c r="A28" s="90" t="s">
        <v>40</v>
      </c>
      <c r="B28" s="90">
        <v>1.4</v>
      </c>
      <c r="C28" s="90">
        <v>0.26</v>
      </c>
      <c r="D28" s="90">
        <v>0.16</v>
      </c>
      <c r="E28" s="90">
        <v>0.14000000000000001</v>
      </c>
      <c r="F28" s="90">
        <v>100</v>
      </c>
      <c r="G28" s="100"/>
      <c r="H28" s="89">
        <v>2000</v>
      </c>
      <c r="I28" s="81">
        <f t="shared" si="7"/>
        <v>20</v>
      </c>
      <c r="J28" s="81">
        <f>B28*I28</f>
        <v>28</v>
      </c>
      <c r="K28" s="80">
        <f>I28*C28*D28*E28</f>
        <v>0.11648000000000003</v>
      </c>
      <c r="O28" s="152">
        <f t="shared" si="5"/>
        <v>0</v>
      </c>
      <c r="P28" s="149">
        <f t="shared" si="6"/>
        <v>0.11648000000000003</v>
      </c>
    </row>
    <row r="29" spans="1:30" ht="15" x14ac:dyDescent="0.25">
      <c r="A29" s="90" t="s">
        <v>41</v>
      </c>
      <c r="B29" s="91">
        <v>3.5</v>
      </c>
      <c r="C29" s="91">
        <v>0.43</v>
      </c>
      <c r="D29" s="91">
        <v>0.52</v>
      </c>
      <c r="E29" s="90">
        <v>0.17</v>
      </c>
      <c r="F29" s="90">
        <v>50</v>
      </c>
      <c r="G29" s="100"/>
      <c r="H29" s="89">
        <v>1000</v>
      </c>
      <c r="I29" s="81">
        <f t="shared" si="7"/>
        <v>20</v>
      </c>
      <c r="J29" s="81">
        <f>B29*I29</f>
        <v>70</v>
      </c>
      <c r="K29" s="80">
        <f>I29*C29*D29*E29</f>
        <v>0.76024000000000003</v>
      </c>
      <c r="O29" s="152">
        <f t="shared" si="5"/>
        <v>0</v>
      </c>
      <c r="P29" s="149">
        <f t="shared" si="6"/>
        <v>0.76024000000000003</v>
      </c>
      <c r="R29" s="213" t="s">
        <v>42</v>
      </c>
      <c r="S29" s="214"/>
      <c r="T29" s="214"/>
      <c r="U29" s="214"/>
      <c r="V29" s="214"/>
      <c r="W29" s="214"/>
      <c r="X29" s="214"/>
      <c r="Y29" s="214"/>
      <c r="Z29" s="214"/>
      <c r="AA29" s="214"/>
      <c r="AB29" s="215"/>
    </row>
    <row r="30" spans="1:30" x14ac:dyDescent="0.25">
      <c r="A30" s="253" t="s">
        <v>43</v>
      </c>
      <c r="B30" s="254"/>
      <c r="C30" s="254"/>
      <c r="D30" s="254"/>
      <c r="E30" s="254"/>
      <c r="F30" s="254"/>
      <c r="G30" s="254"/>
      <c r="H30" s="254"/>
      <c r="I30" s="254"/>
      <c r="J30" s="254"/>
      <c r="K30" s="255"/>
      <c r="O30" s="152">
        <f t="shared" si="5"/>
        <v>0</v>
      </c>
      <c r="P30" s="149">
        <f t="shared" si="6"/>
        <v>0</v>
      </c>
      <c r="R30" s="18"/>
      <c r="S30" s="18"/>
      <c r="T30" s="18"/>
      <c r="U30" s="18"/>
      <c r="V30" s="18"/>
      <c r="W30" s="18"/>
      <c r="X30" s="18"/>
    </row>
    <row r="31" spans="1:30" ht="15" x14ac:dyDescent="0.25">
      <c r="A31" s="78" t="s">
        <v>1</v>
      </c>
      <c r="B31" s="78" t="s">
        <v>2</v>
      </c>
      <c r="C31" s="78" t="s">
        <v>3</v>
      </c>
      <c r="D31" s="78" t="s">
        <v>4</v>
      </c>
      <c r="E31" s="78" t="s">
        <v>44</v>
      </c>
      <c r="F31" s="78" t="s">
        <v>45</v>
      </c>
      <c r="G31" s="70"/>
      <c r="H31" s="88" t="s">
        <v>8</v>
      </c>
      <c r="I31" s="82" t="s">
        <v>9</v>
      </c>
      <c r="J31" s="82" t="s">
        <v>10</v>
      </c>
      <c r="K31" s="49" t="s">
        <v>11</v>
      </c>
      <c r="O31" s="152" t="e">
        <f t="shared" si="5"/>
        <v>#VALUE!</v>
      </c>
      <c r="P31" s="149" t="e">
        <f t="shared" si="6"/>
        <v>#VALUE!</v>
      </c>
      <c r="R31" s="280" t="s">
        <v>42</v>
      </c>
      <c r="S31" s="281"/>
      <c r="T31" s="281"/>
      <c r="U31" s="281"/>
      <c r="V31" s="281"/>
      <c r="W31" s="281"/>
      <c r="X31" s="281"/>
      <c r="Y31" s="282"/>
      <c r="Z31" s="282"/>
      <c r="AA31" s="282"/>
      <c r="AB31" s="283"/>
    </row>
    <row r="32" spans="1:30" ht="15" x14ac:dyDescent="0.25">
      <c r="A32" s="78" t="s">
        <v>46</v>
      </c>
      <c r="B32" s="78">
        <v>2.5</v>
      </c>
      <c r="C32" s="78">
        <v>0.31</v>
      </c>
      <c r="D32" s="78">
        <v>0.31</v>
      </c>
      <c r="E32" s="78">
        <v>0.16</v>
      </c>
      <c r="F32" s="78">
        <v>25</v>
      </c>
      <c r="G32" s="2" t="s">
        <v>27</v>
      </c>
      <c r="H32" s="89">
        <v>50</v>
      </c>
      <c r="I32" s="81">
        <f t="shared" si="7"/>
        <v>2</v>
      </c>
      <c r="J32" s="81">
        <f t="shared" ref="J32:J53" si="12">B32*I32</f>
        <v>5</v>
      </c>
      <c r="K32" s="80">
        <f>I32*C32*D32*E32</f>
        <v>3.0752000000000002E-2</v>
      </c>
      <c r="L32" s="70">
        <f t="shared" ref="L32" si="13">+H32/F32</f>
        <v>2</v>
      </c>
      <c r="M32" s="150">
        <f>+C32*D32*E32</f>
        <v>1.5376000000000001E-2</v>
      </c>
      <c r="N32" s="151">
        <f>+L32*M32</f>
        <v>3.0752000000000002E-2</v>
      </c>
      <c r="O32" s="152">
        <f t="shared" si="5"/>
        <v>5</v>
      </c>
      <c r="P32" s="149">
        <f t="shared" si="6"/>
        <v>3.0752000000000002E-2</v>
      </c>
      <c r="R32" s="78" t="s">
        <v>1</v>
      </c>
      <c r="S32" s="78" t="s">
        <v>2</v>
      </c>
      <c r="T32" s="78" t="s">
        <v>3</v>
      </c>
      <c r="U32" s="78" t="s">
        <v>4</v>
      </c>
      <c r="V32" s="78" t="s">
        <v>44</v>
      </c>
      <c r="W32" s="78" t="s">
        <v>45</v>
      </c>
      <c r="X32" s="139"/>
      <c r="Y32" s="134" t="s">
        <v>47</v>
      </c>
      <c r="Z32" s="109" t="s">
        <v>48</v>
      </c>
      <c r="AA32" s="109" t="s">
        <v>2</v>
      </c>
      <c r="AB32" s="109" t="s">
        <v>11</v>
      </c>
    </row>
    <row r="33" spans="1:30" ht="15" x14ac:dyDescent="0.25">
      <c r="A33" s="78" t="s">
        <v>49</v>
      </c>
      <c r="B33" s="78">
        <v>2</v>
      </c>
      <c r="C33" s="78">
        <v>0.33</v>
      </c>
      <c r="D33" s="78">
        <v>0.63</v>
      </c>
      <c r="E33" s="78">
        <v>0.17</v>
      </c>
      <c r="F33" s="78">
        <v>50</v>
      </c>
      <c r="G33" s="2" t="s">
        <v>29</v>
      </c>
      <c r="H33" s="89">
        <v>400</v>
      </c>
      <c r="I33" s="81">
        <f t="shared" si="7"/>
        <v>8</v>
      </c>
      <c r="J33" s="81">
        <f t="shared" si="12"/>
        <v>16</v>
      </c>
      <c r="K33" s="80">
        <f>I33*C33*D33*E33</f>
        <v>0.282744</v>
      </c>
      <c r="O33" s="152">
        <f t="shared" si="5"/>
        <v>0</v>
      </c>
      <c r="P33" s="149">
        <f t="shared" si="6"/>
        <v>0.282744</v>
      </c>
      <c r="R33" s="135" t="s">
        <v>50</v>
      </c>
      <c r="S33" s="136">
        <v>5</v>
      </c>
      <c r="T33" s="135">
        <v>0.62</v>
      </c>
      <c r="U33" s="135">
        <v>0.32</v>
      </c>
      <c r="V33" s="135">
        <v>0.09</v>
      </c>
      <c r="W33" s="137">
        <v>50</v>
      </c>
      <c r="X33" s="138" t="s">
        <v>29</v>
      </c>
      <c r="Y33" s="110">
        <v>1100</v>
      </c>
      <c r="Z33" s="108">
        <f>Y33/W33</f>
        <v>22</v>
      </c>
      <c r="AA33" s="108">
        <f>Z33*S33</f>
        <v>110</v>
      </c>
      <c r="AB33" s="108">
        <f>Z33*T33*U33*V33</f>
        <v>0.39283200000000007</v>
      </c>
      <c r="AC33" s="3">
        <f>+Z33*S33</f>
        <v>110</v>
      </c>
      <c r="AD33" s="149">
        <f>+T33*U33*V33*Y33/W33</f>
        <v>0.39283200000000001</v>
      </c>
    </row>
    <row r="34" spans="1:30" ht="15" x14ac:dyDescent="0.25">
      <c r="A34" s="78" t="s">
        <v>51</v>
      </c>
      <c r="B34" s="78">
        <v>3</v>
      </c>
      <c r="C34" s="78">
        <v>0.39</v>
      </c>
      <c r="D34" s="78">
        <v>0.28999999999999998</v>
      </c>
      <c r="E34" s="78">
        <v>0.1</v>
      </c>
      <c r="F34" s="78">
        <v>50</v>
      </c>
      <c r="G34" s="2" t="s">
        <v>52</v>
      </c>
      <c r="H34" s="89">
        <v>2000</v>
      </c>
      <c r="I34" s="81">
        <f t="shared" si="7"/>
        <v>40</v>
      </c>
      <c r="J34" s="81">
        <f t="shared" si="12"/>
        <v>120</v>
      </c>
      <c r="K34" s="80">
        <f>I34*C34*D34*E34</f>
        <v>0.45240000000000002</v>
      </c>
      <c r="O34" s="152">
        <f t="shared" si="5"/>
        <v>0</v>
      </c>
      <c r="P34" s="149">
        <f t="shared" si="6"/>
        <v>0.45240000000000002</v>
      </c>
      <c r="R34" s="103" t="s">
        <v>53</v>
      </c>
      <c r="S34" s="111">
        <v>2.5</v>
      </c>
      <c r="T34" s="103">
        <v>0.34</v>
      </c>
      <c r="U34" s="103">
        <v>0.34</v>
      </c>
      <c r="V34" s="103">
        <v>0.13</v>
      </c>
      <c r="W34" s="106">
        <v>25</v>
      </c>
      <c r="X34" s="130" t="s">
        <v>27</v>
      </c>
      <c r="Y34" s="110">
        <v>1000</v>
      </c>
      <c r="Z34" s="108">
        <f>Y34/W34</f>
        <v>40</v>
      </c>
      <c r="AA34" s="108">
        <f>Z34*S34</f>
        <v>100</v>
      </c>
      <c r="AB34" s="140">
        <f>Z34*T34*U34*V34</f>
        <v>0.6011200000000001</v>
      </c>
      <c r="AC34" s="3">
        <f t="shared" ref="AC34:AC45" si="14">+Z34*S34</f>
        <v>100</v>
      </c>
      <c r="AD34" s="149">
        <f t="shared" ref="AD34:AD45" si="15">+T34*U34*V34*Y34/W34</f>
        <v>0.60112000000000021</v>
      </c>
    </row>
    <row r="35" spans="1:30" ht="17.25" customHeight="1" x14ac:dyDescent="0.25">
      <c r="A35" s="78" t="s">
        <v>53</v>
      </c>
      <c r="B35" s="78">
        <v>3</v>
      </c>
      <c r="C35" s="78">
        <v>0.34</v>
      </c>
      <c r="D35" s="78">
        <v>0.34</v>
      </c>
      <c r="E35" s="78">
        <v>0.14000000000000001</v>
      </c>
      <c r="F35" s="78">
        <v>25</v>
      </c>
      <c r="G35" s="2" t="s">
        <v>27</v>
      </c>
      <c r="H35" s="89">
        <v>450</v>
      </c>
      <c r="I35" s="81">
        <f>H35/F35</f>
        <v>18</v>
      </c>
      <c r="J35" s="81">
        <f t="shared" si="12"/>
        <v>54</v>
      </c>
      <c r="K35" s="80">
        <f t="shared" ref="K35:K50" si="16">I35*C35*D35*E35</f>
        <v>0.29131200000000002</v>
      </c>
      <c r="O35" s="152">
        <f t="shared" si="5"/>
        <v>0</v>
      </c>
      <c r="P35" s="149">
        <f t="shared" si="6"/>
        <v>0.29131200000000007</v>
      </c>
      <c r="R35" s="103" t="s">
        <v>54</v>
      </c>
      <c r="S35" s="111">
        <v>4</v>
      </c>
      <c r="T35" s="103">
        <v>0.39</v>
      </c>
      <c r="U35" s="103">
        <v>0.39</v>
      </c>
      <c r="V35" s="103">
        <v>0.14000000000000001</v>
      </c>
      <c r="W35" s="106">
        <v>50</v>
      </c>
      <c r="X35" s="130" t="s">
        <v>27</v>
      </c>
      <c r="Y35" s="110">
        <v>1100</v>
      </c>
      <c r="Z35" s="108">
        <f t="shared" ref="Z35:Z36" si="17">Y35/W35</f>
        <v>22</v>
      </c>
      <c r="AA35" s="108">
        <f t="shared" ref="AA35:AA39" si="18">Z35*S35</f>
        <v>88</v>
      </c>
      <c r="AB35" s="108">
        <f t="shared" ref="AB35:AB39" si="19">Z35*T35*U35*V35</f>
        <v>0.46846800000000005</v>
      </c>
      <c r="AC35" s="3">
        <f t="shared" si="14"/>
        <v>88</v>
      </c>
      <c r="AD35" s="149">
        <f t="shared" si="15"/>
        <v>0.46846800000000011</v>
      </c>
    </row>
    <row r="36" spans="1:30" ht="15" customHeight="1" x14ac:dyDescent="0.25">
      <c r="A36" s="78" t="s">
        <v>53</v>
      </c>
      <c r="B36" s="78">
        <v>4</v>
      </c>
      <c r="C36" s="78">
        <v>0.38</v>
      </c>
      <c r="D36" s="78">
        <v>0.38</v>
      </c>
      <c r="E36" s="78">
        <v>0.14000000000000001</v>
      </c>
      <c r="F36" s="78">
        <v>50</v>
      </c>
      <c r="G36" s="2" t="s">
        <v>29</v>
      </c>
      <c r="H36" s="89">
        <v>300</v>
      </c>
      <c r="I36" s="81">
        <f>H36/F36</f>
        <v>6</v>
      </c>
      <c r="J36" s="81">
        <f t="shared" si="12"/>
        <v>24</v>
      </c>
      <c r="K36" s="80">
        <f t="shared" si="16"/>
        <v>0.12129600000000001</v>
      </c>
      <c r="O36" s="152">
        <f t="shared" si="5"/>
        <v>0</v>
      </c>
      <c r="P36" s="149">
        <f t="shared" si="6"/>
        <v>0.12129600000000001</v>
      </c>
      <c r="R36" s="103" t="s">
        <v>55</v>
      </c>
      <c r="S36" s="111">
        <v>6</v>
      </c>
      <c r="T36" s="103">
        <v>0.44</v>
      </c>
      <c r="U36" s="103">
        <v>0.44</v>
      </c>
      <c r="V36" s="103">
        <v>0.13</v>
      </c>
      <c r="W36" s="106">
        <v>25</v>
      </c>
      <c r="X36" s="130" t="s">
        <v>27</v>
      </c>
      <c r="Y36" s="110">
        <v>1100</v>
      </c>
      <c r="Z36" s="108">
        <f t="shared" si="17"/>
        <v>44</v>
      </c>
      <c r="AA36" s="108">
        <f t="shared" si="18"/>
        <v>264</v>
      </c>
      <c r="AB36" s="108">
        <f>Z36*T36*U36*V36</f>
        <v>1.1073919999999999</v>
      </c>
      <c r="AC36" s="3">
        <f t="shared" si="14"/>
        <v>264</v>
      </c>
      <c r="AD36" s="149">
        <f t="shared" si="15"/>
        <v>1.1073919999999999</v>
      </c>
    </row>
    <row r="37" spans="1:30" ht="15" customHeight="1" x14ac:dyDescent="0.25">
      <c r="A37" s="78" t="s">
        <v>56</v>
      </c>
      <c r="B37" s="78">
        <v>10</v>
      </c>
      <c r="C37" s="78">
        <v>0.61</v>
      </c>
      <c r="D37" s="78">
        <v>0.73</v>
      </c>
      <c r="E37" s="78">
        <v>0.17</v>
      </c>
      <c r="F37" s="78">
        <v>50</v>
      </c>
      <c r="G37" s="2" t="s">
        <v>57</v>
      </c>
      <c r="H37" s="89">
        <v>50</v>
      </c>
      <c r="I37" s="81">
        <f t="shared" si="7"/>
        <v>1</v>
      </c>
      <c r="J37" s="81">
        <f t="shared" si="12"/>
        <v>10</v>
      </c>
      <c r="K37" s="80">
        <f t="shared" ref="K37:K47" si="20">I37*C37*D37*E37</f>
        <v>7.5701000000000004E-2</v>
      </c>
      <c r="O37" s="152">
        <f t="shared" si="5"/>
        <v>0</v>
      </c>
      <c r="P37" s="149">
        <f t="shared" si="6"/>
        <v>7.5701000000000004E-2</v>
      </c>
      <c r="R37" s="103" t="s">
        <v>55</v>
      </c>
      <c r="S37" s="111">
        <v>10</v>
      </c>
      <c r="T37" s="103">
        <v>0.82</v>
      </c>
      <c r="U37" s="103">
        <v>0.43</v>
      </c>
      <c r="V37" s="103">
        <v>0.09</v>
      </c>
      <c r="W37" s="106">
        <v>50</v>
      </c>
      <c r="X37" s="130" t="s">
        <v>29</v>
      </c>
      <c r="Y37" s="110">
        <v>1100</v>
      </c>
      <c r="Z37" s="108">
        <f>Y37/W37</f>
        <v>22</v>
      </c>
      <c r="AA37" s="108">
        <f>Z37*S37</f>
        <v>220</v>
      </c>
      <c r="AB37" s="108">
        <f>Z37*T37*U37*V37</f>
        <v>0.69814799999999988</v>
      </c>
      <c r="AC37" s="3">
        <f t="shared" si="14"/>
        <v>220</v>
      </c>
      <c r="AD37" s="149">
        <f t="shared" si="15"/>
        <v>0.69814799999999988</v>
      </c>
    </row>
    <row r="38" spans="1:30" ht="15" customHeight="1" x14ac:dyDescent="0.25">
      <c r="A38" s="78" t="s">
        <v>58</v>
      </c>
      <c r="B38" s="78">
        <v>3</v>
      </c>
      <c r="C38" s="78">
        <v>0.36</v>
      </c>
      <c r="D38" s="78">
        <v>0.72</v>
      </c>
      <c r="E38" s="78">
        <v>0.17</v>
      </c>
      <c r="F38" s="78">
        <v>50</v>
      </c>
      <c r="G38" s="2">
        <v>800</v>
      </c>
      <c r="H38" s="89">
        <v>750</v>
      </c>
      <c r="I38" s="81">
        <f t="shared" si="7"/>
        <v>15</v>
      </c>
      <c r="J38" s="81">
        <f t="shared" si="12"/>
        <v>45</v>
      </c>
      <c r="K38" s="80">
        <f t="shared" si="20"/>
        <v>0.66095999999999999</v>
      </c>
      <c r="O38" s="152">
        <f t="shared" si="5"/>
        <v>0</v>
      </c>
      <c r="P38" s="149">
        <f t="shared" si="6"/>
        <v>0.66095999999999999</v>
      </c>
      <c r="R38" s="103" t="s">
        <v>59</v>
      </c>
      <c r="S38" s="132">
        <v>12.5</v>
      </c>
      <c r="T38" s="103">
        <v>0.92</v>
      </c>
      <c r="U38" s="103">
        <v>0.48</v>
      </c>
      <c r="V38" s="133">
        <v>0.1</v>
      </c>
      <c r="W38" s="106">
        <v>50</v>
      </c>
      <c r="X38" s="130" t="s">
        <v>29</v>
      </c>
      <c r="Y38" s="110">
        <v>2000</v>
      </c>
      <c r="Z38" s="108">
        <f>Y38/W38</f>
        <v>40</v>
      </c>
      <c r="AA38" s="108">
        <f>Z38*S38</f>
        <v>500</v>
      </c>
      <c r="AB38" s="108">
        <f>Z38*T38*U38*V38</f>
        <v>1.7664000000000002</v>
      </c>
      <c r="AC38" s="3">
        <f t="shared" si="14"/>
        <v>500</v>
      </c>
      <c r="AD38" s="149">
        <f t="shared" si="15"/>
        <v>1.7664000000000002</v>
      </c>
    </row>
    <row r="39" spans="1:30" ht="15" customHeight="1" x14ac:dyDescent="0.25">
      <c r="A39" s="78" t="s">
        <v>60</v>
      </c>
      <c r="B39" s="78">
        <v>4</v>
      </c>
      <c r="C39" s="78">
        <v>0.39</v>
      </c>
      <c r="D39" s="78">
        <v>0.39</v>
      </c>
      <c r="E39" s="78">
        <v>0.14000000000000001</v>
      </c>
      <c r="F39" s="78">
        <v>25</v>
      </c>
      <c r="G39" s="2" t="s">
        <v>27</v>
      </c>
      <c r="H39" s="89">
        <v>1012</v>
      </c>
      <c r="I39" s="81">
        <f t="shared" si="7"/>
        <v>40.479999999999997</v>
      </c>
      <c r="J39" s="81">
        <f t="shared" si="12"/>
        <v>161.91999999999999</v>
      </c>
      <c r="K39" s="80">
        <f t="shared" si="20"/>
        <v>0.86198112000000005</v>
      </c>
      <c r="O39" s="152">
        <f t="shared" si="5"/>
        <v>0</v>
      </c>
      <c r="P39" s="149">
        <f t="shared" si="6"/>
        <v>0.86198112000000005</v>
      </c>
      <c r="R39" s="103" t="s">
        <v>59</v>
      </c>
      <c r="S39" s="111">
        <v>7.5</v>
      </c>
      <c r="T39" s="103">
        <v>0.49</v>
      </c>
      <c r="U39" s="103">
        <v>0.49</v>
      </c>
      <c r="V39" s="103">
        <v>0.15</v>
      </c>
      <c r="W39" s="106">
        <v>25</v>
      </c>
      <c r="X39" s="130" t="s">
        <v>27</v>
      </c>
      <c r="Y39" s="110">
        <v>150</v>
      </c>
      <c r="Z39" s="108">
        <f>Y39/W39</f>
        <v>6</v>
      </c>
      <c r="AA39" s="108">
        <f t="shared" si="18"/>
        <v>45</v>
      </c>
      <c r="AB39" s="108">
        <f t="shared" si="19"/>
        <v>0.21608999999999998</v>
      </c>
      <c r="AC39" s="3">
        <f t="shared" si="14"/>
        <v>45</v>
      </c>
      <c r="AD39" s="149">
        <f t="shared" si="15"/>
        <v>0.21608999999999998</v>
      </c>
    </row>
    <row r="40" spans="1:30" ht="15" customHeight="1" x14ac:dyDescent="0.25">
      <c r="A40" s="78" t="s">
        <v>60</v>
      </c>
      <c r="B40" s="78">
        <v>6</v>
      </c>
      <c r="C40" s="19">
        <v>0.8</v>
      </c>
      <c r="D40" s="19">
        <v>0.4</v>
      </c>
      <c r="E40" s="78">
        <v>0.15</v>
      </c>
      <c r="F40" s="78">
        <v>50</v>
      </c>
      <c r="G40" s="2" t="s">
        <v>29</v>
      </c>
      <c r="H40" s="89">
        <v>2000</v>
      </c>
      <c r="I40" s="81">
        <f>H40/F40</f>
        <v>40</v>
      </c>
      <c r="J40" s="81">
        <f t="shared" si="12"/>
        <v>240</v>
      </c>
      <c r="K40" s="80">
        <f t="shared" si="20"/>
        <v>1.92</v>
      </c>
      <c r="O40" s="152">
        <f t="shared" si="5"/>
        <v>0</v>
      </c>
      <c r="P40" s="149">
        <f t="shared" si="6"/>
        <v>1.9200000000000004</v>
      </c>
      <c r="R40" s="278" t="s">
        <v>61</v>
      </c>
      <c r="S40" s="278"/>
      <c r="T40" s="278"/>
      <c r="U40" s="278"/>
      <c r="V40" s="278"/>
      <c r="W40" s="279"/>
      <c r="X40" s="129"/>
      <c r="Y40" s="107">
        <f>SUM(Y33:Y39)</f>
        <v>7550</v>
      </c>
      <c r="Z40" s="104">
        <f>SUM(Z33:Z39)</f>
        <v>196</v>
      </c>
      <c r="AA40" s="104">
        <f>SUM(AA33:AA39)</f>
        <v>1327</v>
      </c>
      <c r="AB40" s="104">
        <f>SUM(AB33:AB39)</f>
        <v>5.2504500000000007</v>
      </c>
      <c r="AC40" s="3"/>
      <c r="AD40" s="149"/>
    </row>
    <row r="41" spans="1:30" ht="15" customHeight="1" x14ac:dyDescent="0.25">
      <c r="A41" s="78" t="s">
        <v>62</v>
      </c>
      <c r="B41" s="78">
        <v>5</v>
      </c>
      <c r="C41" s="19">
        <v>0.8</v>
      </c>
      <c r="D41" s="19">
        <v>0.4</v>
      </c>
      <c r="E41" s="78">
        <v>0.14000000000000001</v>
      </c>
      <c r="F41" s="78">
        <v>25</v>
      </c>
      <c r="G41" s="2" t="s">
        <v>29</v>
      </c>
      <c r="H41" s="89">
        <v>500</v>
      </c>
      <c r="I41" s="81">
        <f t="shared" si="7"/>
        <v>20</v>
      </c>
      <c r="J41" s="81">
        <f t="shared" si="12"/>
        <v>100</v>
      </c>
      <c r="K41" s="80">
        <f t="shared" si="20"/>
        <v>0.89600000000000013</v>
      </c>
      <c r="O41" s="152">
        <f t="shared" si="5"/>
        <v>0</v>
      </c>
      <c r="P41" s="149">
        <f t="shared" si="6"/>
        <v>0.89600000000000024</v>
      </c>
      <c r="AC41" s="3"/>
      <c r="AD41" s="149"/>
    </row>
    <row r="42" spans="1:30" ht="15" customHeight="1" x14ac:dyDescent="0.25">
      <c r="A42" s="78" t="s">
        <v>63</v>
      </c>
      <c r="B42" s="78">
        <v>7</v>
      </c>
      <c r="C42" s="78">
        <v>0.42</v>
      </c>
      <c r="D42" s="78">
        <v>0.82</v>
      </c>
      <c r="E42" s="78">
        <v>0.15</v>
      </c>
      <c r="F42" s="78">
        <v>25</v>
      </c>
      <c r="G42" s="2" t="s">
        <v>29</v>
      </c>
      <c r="H42" s="89">
        <v>1000</v>
      </c>
      <c r="I42" s="81">
        <f t="shared" ref="I42:I46" si="21">H42/F42</f>
        <v>40</v>
      </c>
      <c r="J42" s="81">
        <f t="shared" si="12"/>
        <v>280</v>
      </c>
      <c r="K42" s="80">
        <f t="shared" si="20"/>
        <v>2.0663999999999998</v>
      </c>
      <c r="O42" s="152">
        <f t="shared" si="5"/>
        <v>0</v>
      </c>
      <c r="P42" s="149">
        <f t="shared" si="6"/>
        <v>2.0663999999999998</v>
      </c>
      <c r="R42" s="280" t="s">
        <v>64</v>
      </c>
      <c r="S42" s="281"/>
      <c r="T42" s="281"/>
      <c r="U42" s="281"/>
      <c r="V42" s="281"/>
      <c r="W42" s="281"/>
      <c r="X42" s="281"/>
      <c r="Y42" s="282"/>
      <c r="Z42" s="282"/>
      <c r="AA42" s="282"/>
      <c r="AB42" s="283"/>
      <c r="AC42" s="3"/>
      <c r="AD42" s="149"/>
    </row>
    <row r="43" spans="1:30" ht="15" customHeight="1" x14ac:dyDescent="0.25">
      <c r="A43" s="78" t="s">
        <v>55</v>
      </c>
      <c r="B43" s="78">
        <v>7</v>
      </c>
      <c r="C43" s="78">
        <v>0.86</v>
      </c>
      <c r="D43" s="78">
        <v>0.42</v>
      </c>
      <c r="E43" s="78">
        <v>0.15</v>
      </c>
      <c r="F43" s="78">
        <v>50</v>
      </c>
      <c r="G43" s="2" t="s">
        <v>65</v>
      </c>
      <c r="H43" s="89">
        <v>1000</v>
      </c>
      <c r="I43" s="81">
        <f t="shared" si="21"/>
        <v>20</v>
      </c>
      <c r="J43" s="81">
        <f>B43*I43</f>
        <v>140</v>
      </c>
      <c r="K43" s="80">
        <f t="shared" si="20"/>
        <v>1.0835999999999999</v>
      </c>
      <c r="O43" s="152">
        <f t="shared" si="5"/>
        <v>0</v>
      </c>
      <c r="P43" s="149">
        <f t="shared" si="6"/>
        <v>1.0835999999999999</v>
      </c>
      <c r="R43" s="78" t="s">
        <v>1</v>
      </c>
      <c r="S43" s="78" t="s">
        <v>2</v>
      </c>
      <c r="T43" s="78" t="s">
        <v>3</v>
      </c>
      <c r="U43" s="78" t="s">
        <v>4</v>
      </c>
      <c r="V43" s="78" t="s">
        <v>44</v>
      </c>
      <c r="W43" s="78" t="s">
        <v>45</v>
      </c>
      <c r="X43" s="139"/>
      <c r="Y43" s="134" t="s">
        <v>47</v>
      </c>
      <c r="Z43" s="109" t="s">
        <v>48</v>
      </c>
      <c r="AA43" s="109" t="s">
        <v>2</v>
      </c>
      <c r="AB43" s="109" t="s">
        <v>11</v>
      </c>
      <c r="AC43" s="3"/>
      <c r="AD43" s="149"/>
    </row>
    <row r="44" spans="1:30" ht="14.25" customHeight="1" x14ac:dyDescent="0.25">
      <c r="A44" s="78" t="s">
        <v>55</v>
      </c>
      <c r="B44" s="78">
        <v>4.5</v>
      </c>
      <c r="C44" s="78">
        <v>0.44</v>
      </c>
      <c r="D44" s="78">
        <v>0.44</v>
      </c>
      <c r="E44" s="78">
        <v>0.13</v>
      </c>
      <c r="F44" s="78">
        <v>25</v>
      </c>
      <c r="G44" s="2" t="s">
        <v>27</v>
      </c>
      <c r="H44" s="89">
        <v>1350</v>
      </c>
      <c r="I44" s="81">
        <f t="shared" si="21"/>
        <v>54</v>
      </c>
      <c r="J44" s="81">
        <f>B44*I44</f>
        <v>243</v>
      </c>
      <c r="K44" s="80">
        <f t="shared" si="20"/>
        <v>1.3590720000000003</v>
      </c>
      <c r="O44" s="152">
        <f t="shared" si="5"/>
        <v>0</v>
      </c>
      <c r="P44" s="149">
        <f t="shared" si="6"/>
        <v>1.3590720000000001</v>
      </c>
      <c r="R44" s="103" t="s">
        <v>55</v>
      </c>
      <c r="S44" s="111">
        <v>6</v>
      </c>
      <c r="T44" s="103">
        <v>0.47</v>
      </c>
      <c r="U44" s="103">
        <v>0.47</v>
      </c>
      <c r="V44" s="103">
        <v>0.15</v>
      </c>
      <c r="W44" s="106">
        <v>50</v>
      </c>
      <c r="X44" s="138" t="s">
        <v>29</v>
      </c>
      <c r="Y44" s="110">
        <v>3028</v>
      </c>
      <c r="Z44" s="108">
        <f>Y44/W44</f>
        <v>60.56</v>
      </c>
      <c r="AA44" s="108">
        <f>Z44*S44</f>
        <v>363.36</v>
      </c>
      <c r="AB44" s="108">
        <f>Z44*T44*U44*V44</f>
        <v>2.0066555999999998</v>
      </c>
      <c r="AC44" s="3">
        <f t="shared" si="14"/>
        <v>363.36</v>
      </c>
      <c r="AD44" s="149">
        <f t="shared" si="15"/>
        <v>2.0066556000000002</v>
      </c>
    </row>
    <row r="45" spans="1:30" ht="15" customHeight="1" x14ac:dyDescent="0.25">
      <c r="A45" s="78" t="s">
        <v>59</v>
      </c>
      <c r="B45" s="78">
        <v>10</v>
      </c>
      <c r="C45" s="78">
        <v>0.92</v>
      </c>
      <c r="D45" s="78">
        <v>0.48</v>
      </c>
      <c r="E45" s="78">
        <v>0.15</v>
      </c>
      <c r="F45" s="78">
        <v>50</v>
      </c>
      <c r="G45" s="2" t="s">
        <v>29</v>
      </c>
      <c r="H45" s="89">
        <v>1200</v>
      </c>
      <c r="I45" s="81">
        <f t="shared" si="21"/>
        <v>24</v>
      </c>
      <c r="J45" s="81">
        <f t="shared" si="12"/>
        <v>240</v>
      </c>
      <c r="K45" s="80">
        <f t="shared" si="20"/>
        <v>1.5897599999999998</v>
      </c>
      <c r="O45" s="152">
        <f t="shared" si="5"/>
        <v>0</v>
      </c>
      <c r="P45" s="149">
        <f t="shared" si="6"/>
        <v>1.5897599999999998</v>
      </c>
      <c r="R45" s="103" t="s">
        <v>54</v>
      </c>
      <c r="S45" s="111">
        <v>8</v>
      </c>
      <c r="T45" s="103">
        <v>0.49</v>
      </c>
      <c r="U45" s="103">
        <v>0.49</v>
      </c>
      <c r="V45" s="103">
        <v>0.15</v>
      </c>
      <c r="W45" s="106">
        <v>50</v>
      </c>
      <c r="X45" s="130" t="s">
        <v>29</v>
      </c>
      <c r="Y45" s="110">
        <v>1025</v>
      </c>
      <c r="Z45" s="108">
        <f>Y45/W45</f>
        <v>20.5</v>
      </c>
      <c r="AA45" s="108">
        <f>Z45*S45</f>
        <v>164</v>
      </c>
      <c r="AB45" s="140">
        <f>Z45*T45*U45*V45</f>
        <v>0.73830749999999989</v>
      </c>
      <c r="AC45" s="3">
        <f t="shared" si="14"/>
        <v>164</v>
      </c>
      <c r="AD45" s="149">
        <f t="shared" si="15"/>
        <v>0.73830749999999989</v>
      </c>
    </row>
    <row r="46" spans="1:30" ht="15" customHeight="1" x14ac:dyDescent="0.25">
      <c r="A46" s="78" t="s">
        <v>59</v>
      </c>
      <c r="B46" s="78">
        <v>6</v>
      </c>
      <c r="C46" s="78">
        <v>0.49</v>
      </c>
      <c r="D46" s="78">
        <v>0.49</v>
      </c>
      <c r="E46" s="78">
        <v>0.15</v>
      </c>
      <c r="F46" s="78">
        <v>25</v>
      </c>
      <c r="G46" s="2" t="s">
        <v>27</v>
      </c>
      <c r="H46" s="89">
        <v>1200</v>
      </c>
      <c r="I46" s="81">
        <f t="shared" si="21"/>
        <v>48</v>
      </c>
      <c r="J46" s="81">
        <f t="shared" si="12"/>
        <v>288</v>
      </c>
      <c r="K46" s="80">
        <f t="shared" si="20"/>
        <v>1.7287199999999998</v>
      </c>
      <c r="O46" s="152">
        <f t="shared" si="5"/>
        <v>0</v>
      </c>
      <c r="P46" s="149">
        <f t="shared" si="6"/>
        <v>1.72872</v>
      </c>
      <c r="Z46"/>
      <c r="AA46"/>
    </row>
    <row r="47" spans="1:30" ht="15" customHeight="1" x14ac:dyDescent="0.25">
      <c r="A47" s="78" t="s">
        <v>66</v>
      </c>
      <c r="B47" s="78">
        <v>11</v>
      </c>
      <c r="C47" s="78">
        <v>0.54</v>
      </c>
      <c r="D47" s="78">
        <v>1.08</v>
      </c>
      <c r="E47" s="78">
        <v>0.15</v>
      </c>
      <c r="F47" s="78">
        <v>50</v>
      </c>
      <c r="G47" s="2" t="s">
        <v>29</v>
      </c>
      <c r="H47" s="89">
        <v>1028</v>
      </c>
      <c r="I47" s="81">
        <f>H47/F47</f>
        <v>20.56</v>
      </c>
      <c r="J47" s="81">
        <f t="shared" si="12"/>
        <v>226.16</v>
      </c>
      <c r="K47" s="80">
        <f t="shared" si="20"/>
        <v>1.7985887999999999</v>
      </c>
      <c r="O47" s="152">
        <f t="shared" si="5"/>
        <v>0</v>
      </c>
      <c r="P47" s="149">
        <f t="shared" si="6"/>
        <v>1.7985887999999999</v>
      </c>
      <c r="Z47"/>
      <c r="AA47"/>
    </row>
    <row r="48" spans="1:30" ht="15" customHeight="1" x14ac:dyDescent="0.25">
      <c r="A48" s="78" t="s">
        <v>66</v>
      </c>
      <c r="B48" s="78">
        <v>7.8</v>
      </c>
      <c r="C48" s="78">
        <v>0.59</v>
      </c>
      <c r="D48" s="78">
        <v>0.59</v>
      </c>
      <c r="E48" s="78">
        <v>0.15</v>
      </c>
      <c r="F48" s="78">
        <v>25</v>
      </c>
      <c r="G48" s="2" t="s">
        <v>27</v>
      </c>
      <c r="H48" s="89">
        <v>1400</v>
      </c>
      <c r="I48" s="81">
        <f>H48/F48</f>
        <v>56</v>
      </c>
      <c r="J48" s="81">
        <f t="shared" si="12"/>
        <v>436.8</v>
      </c>
      <c r="K48" s="80">
        <f t="shared" si="16"/>
        <v>2.9240399999999993</v>
      </c>
      <c r="O48" s="152">
        <f t="shared" si="5"/>
        <v>0</v>
      </c>
      <c r="P48" s="149">
        <f t="shared" si="6"/>
        <v>2.9240399999999993</v>
      </c>
      <c r="Z48"/>
      <c r="AA48"/>
    </row>
    <row r="49" spans="1:27" ht="15" customHeight="1" x14ac:dyDescent="0.25">
      <c r="A49" s="78" t="s">
        <v>67</v>
      </c>
      <c r="B49" s="78">
        <v>4.5</v>
      </c>
      <c r="C49" s="19">
        <v>0.4</v>
      </c>
      <c r="D49" s="19">
        <v>0.4</v>
      </c>
      <c r="E49" s="78">
        <v>0.16</v>
      </c>
      <c r="F49" s="78">
        <v>50</v>
      </c>
      <c r="G49" s="2"/>
      <c r="H49" s="89">
        <v>500</v>
      </c>
      <c r="I49" s="81">
        <f t="shared" si="7"/>
        <v>10</v>
      </c>
      <c r="J49" s="81">
        <f t="shared" si="12"/>
        <v>45</v>
      </c>
      <c r="K49" s="80">
        <f t="shared" si="16"/>
        <v>0.25600000000000001</v>
      </c>
      <c r="O49" s="152">
        <f t="shared" si="5"/>
        <v>0</v>
      </c>
      <c r="P49" s="149">
        <f t="shared" si="6"/>
        <v>0.25600000000000006</v>
      </c>
      <c r="Z49"/>
      <c r="AA49"/>
    </row>
    <row r="50" spans="1:27" ht="15" customHeight="1" x14ac:dyDescent="0.25">
      <c r="A50" s="78" t="s">
        <v>68</v>
      </c>
      <c r="B50" s="78">
        <v>7</v>
      </c>
      <c r="C50" s="19">
        <v>0.9</v>
      </c>
      <c r="D50" s="78">
        <v>0.46</v>
      </c>
      <c r="E50" s="78">
        <v>0.15</v>
      </c>
      <c r="F50" s="78">
        <v>25</v>
      </c>
      <c r="G50" s="2" t="s">
        <v>29</v>
      </c>
      <c r="H50" s="89">
        <v>600</v>
      </c>
      <c r="I50" s="81">
        <f t="shared" si="7"/>
        <v>24</v>
      </c>
      <c r="J50" s="81">
        <f t="shared" si="12"/>
        <v>168</v>
      </c>
      <c r="K50" s="80">
        <f t="shared" si="16"/>
        <v>1.4904000000000002</v>
      </c>
      <c r="O50" s="152">
        <f t="shared" si="5"/>
        <v>0</v>
      </c>
      <c r="P50" s="149">
        <f t="shared" si="6"/>
        <v>1.4904000000000002</v>
      </c>
      <c r="Z50"/>
      <c r="AA50"/>
    </row>
    <row r="51" spans="1:27" ht="15" customHeight="1" x14ac:dyDescent="0.25">
      <c r="A51" s="78" t="s">
        <v>69</v>
      </c>
      <c r="B51" s="78">
        <v>6</v>
      </c>
      <c r="C51" s="19">
        <v>0.44</v>
      </c>
      <c r="D51" s="78">
        <v>0.48</v>
      </c>
      <c r="E51" s="78">
        <v>0.18</v>
      </c>
      <c r="F51" s="78">
        <v>50</v>
      </c>
      <c r="G51" s="2"/>
      <c r="H51" s="89">
        <v>1000</v>
      </c>
      <c r="I51" s="81">
        <f>H51/F51</f>
        <v>20</v>
      </c>
      <c r="J51" s="81">
        <f t="shared" si="12"/>
        <v>120</v>
      </c>
      <c r="K51" s="80">
        <f t="shared" ref="K51:K53" si="22">I51*C51*D51*E51</f>
        <v>0.76032</v>
      </c>
      <c r="O51" s="152">
        <f t="shared" si="5"/>
        <v>0</v>
      </c>
      <c r="P51" s="149">
        <f t="shared" si="6"/>
        <v>0.76032</v>
      </c>
      <c r="Z51"/>
      <c r="AA51"/>
    </row>
    <row r="52" spans="1:27" ht="15" customHeight="1" x14ac:dyDescent="0.25">
      <c r="A52" s="78" t="s">
        <v>70</v>
      </c>
      <c r="B52" s="78">
        <v>10</v>
      </c>
      <c r="C52" s="78" t="s">
        <v>71</v>
      </c>
      <c r="D52" s="78">
        <v>1.1100000000000001</v>
      </c>
      <c r="E52" s="78">
        <v>7.0000000000000007E-2</v>
      </c>
      <c r="F52" s="78">
        <v>25</v>
      </c>
      <c r="G52" s="2" t="s">
        <v>29</v>
      </c>
      <c r="H52" s="89">
        <v>994</v>
      </c>
      <c r="I52" s="81">
        <f>H52/F52</f>
        <v>39.76</v>
      </c>
      <c r="J52" s="81">
        <f t="shared" si="12"/>
        <v>397.59999999999997</v>
      </c>
      <c r="K52" s="80" t="e">
        <f t="shared" si="22"/>
        <v>#VALUE!</v>
      </c>
      <c r="O52" s="152">
        <f t="shared" si="5"/>
        <v>0</v>
      </c>
      <c r="P52" s="149" t="e">
        <f t="shared" si="6"/>
        <v>#VALUE!</v>
      </c>
      <c r="V52" s="20"/>
      <c r="W52" s="20"/>
      <c r="X52" s="20"/>
    </row>
    <row r="53" spans="1:27" ht="15" customHeight="1" x14ac:dyDescent="0.25">
      <c r="A53" s="78" t="s">
        <v>72</v>
      </c>
      <c r="B53" s="78">
        <v>9</v>
      </c>
      <c r="C53" s="78">
        <v>0.82</v>
      </c>
      <c r="D53" s="78">
        <v>0.87</v>
      </c>
      <c r="E53" s="78">
        <v>7.0000000000000007E-2</v>
      </c>
      <c r="F53" s="78">
        <v>25</v>
      </c>
      <c r="G53" s="2" t="s">
        <v>29</v>
      </c>
      <c r="H53" s="89">
        <v>250</v>
      </c>
      <c r="I53" s="81">
        <f>H53/F53</f>
        <v>10</v>
      </c>
      <c r="J53" s="81">
        <f t="shared" si="12"/>
        <v>90</v>
      </c>
      <c r="K53" s="80">
        <f t="shared" si="22"/>
        <v>0.49937999999999999</v>
      </c>
      <c r="O53" s="152">
        <f t="shared" si="5"/>
        <v>0</v>
      </c>
      <c r="P53" s="149">
        <f t="shared" si="6"/>
        <v>0.49937999999999994</v>
      </c>
      <c r="W53" s="20"/>
      <c r="X53" s="20"/>
    </row>
    <row r="54" spans="1:27" ht="15" customHeight="1" x14ac:dyDescent="0.25">
      <c r="A54" s="78" t="s">
        <v>73</v>
      </c>
      <c r="B54" s="78">
        <v>2</v>
      </c>
      <c r="C54" s="78">
        <v>0.19</v>
      </c>
      <c r="D54" s="78">
        <v>0.19</v>
      </c>
      <c r="E54" s="19">
        <v>0.4</v>
      </c>
      <c r="F54" s="78">
        <v>50</v>
      </c>
      <c r="G54" s="2" t="s">
        <v>29</v>
      </c>
      <c r="H54" s="89">
        <v>3050</v>
      </c>
      <c r="I54" s="81">
        <f>H54/F54</f>
        <v>61</v>
      </c>
      <c r="J54" s="81">
        <f>B54*I54</f>
        <v>122</v>
      </c>
      <c r="K54" s="80">
        <f>I54*C54*D54*E54</f>
        <v>0.88084000000000007</v>
      </c>
      <c r="O54" s="152">
        <f t="shared" si="5"/>
        <v>0</v>
      </c>
      <c r="P54" s="149">
        <f t="shared" si="6"/>
        <v>0.88084000000000007</v>
      </c>
    </row>
    <row r="55" spans="1:27" ht="15" customHeight="1" x14ac:dyDescent="0.25">
      <c r="A55" s="78" t="s">
        <v>74</v>
      </c>
      <c r="B55" s="78">
        <v>6</v>
      </c>
      <c r="C55" s="19">
        <v>0.69</v>
      </c>
      <c r="D55" s="78">
        <v>0.39</v>
      </c>
      <c r="E55" s="19">
        <v>0.19</v>
      </c>
      <c r="F55" s="78">
        <v>100</v>
      </c>
      <c r="G55" s="2" t="s">
        <v>29</v>
      </c>
      <c r="H55" s="89">
        <v>3933</v>
      </c>
      <c r="I55" s="81">
        <f t="shared" si="7"/>
        <v>39.33</v>
      </c>
      <c r="J55" s="81">
        <f t="shared" ref="J55:J63" si="23">B55*I55</f>
        <v>235.98</v>
      </c>
      <c r="K55" s="80">
        <f t="shared" ref="K55:K63" si="24">I55*C55*D55*E55</f>
        <v>2.0109035699999995</v>
      </c>
      <c r="O55" s="152">
        <f t="shared" si="5"/>
        <v>0</v>
      </c>
      <c r="P55" s="149">
        <f t="shared" si="6"/>
        <v>2.01090357</v>
      </c>
    </row>
    <row r="56" spans="1:27" x14ac:dyDescent="0.25">
      <c r="A56" s="78" t="s">
        <v>75</v>
      </c>
      <c r="B56" s="78">
        <v>10</v>
      </c>
      <c r="C56" s="19">
        <v>0.6</v>
      </c>
      <c r="D56" s="19">
        <v>0.6</v>
      </c>
      <c r="E56" s="78">
        <v>0.14000000000000001</v>
      </c>
      <c r="F56" s="78">
        <v>50</v>
      </c>
      <c r="G56" s="2" t="s">
        <v>27</v>
      </c>
      <c r="H56" s="89">
        <v>50</v>
      </c>
      <c r="I56" s="81">
        <f t="shared" si="7"/>
        <v>1</v>
      </c>
      <c r="J56" s="81">
        <f t="shared" si="23"/>
        <v>10</v>
      </c>
      <c r="K56" s="80">
        <f t="shared" si="24"/>
        <v>5.04E-2</v>
      </c>
      <c r="O56" s="152">
        <f t="shared" si="5"/>
        <v>0</v>
      </c>
      <c r="P56" s="149">
        <f t="shared" si="6"/>
        <v>5.04E-2</v>
      </c>
      <c r="V56" s="21"/>
    </row>
    <row r="57" spans="1:27" x14ac:dyDescent="0.25">
      <c r="A57" s="78" t="s">
        <v>76</v>
      </c>
      <c r="B57" s="78">
        <v>10.5</v>
      </c>
      <c r="C57" s="78">
        <v>0.69</v>
      </c>
      <c r="D57" s="78">
        <v>0.69</v>
      </c>
      <c r="E57" s="78">
        <v>0.15</v>
      </c>
      <c r="F57" s="78">
        <v>50</v>
      </c>
      <c r="G57" s="2" t="s">
        <v>27</v>
      </c>
      <c r="H57" s="89">
        <v>1000</v>
      </c>
      <c r="I57" s="81">
        <f t="shared" si="7"/>
        <v>20</v>
      </c>
      <c r="J57" s="81">
        <f t="shared" si="23"/>
        <v>210</v>
      </c>
      <c r="K57" s="80">
        <f t="shared" si="24"/>
        <v>1.4282999999999997</v>
      </c>
      <c r="O57" s="152">
        <f t="shared" si="5"/>
        <v>0</v>
      </c>
      <c r="P57" s="149">
        <f t="shared" si="6"/>
        <v>1.4282999999999997</v>
      </c>
      <c r="V57" s="21"/>
    </row>
    <row r="58" spans="1:27" x14ac:dyDescent="0.25">
      <c r="A58" s="78" t="s">
        <v>77</v>
      </c>
      <c r="B58" s="78">
        <v>5</v>
      </c>
      <c r="C58" s="78">
        <v>0.34</v>
      </c>
      <c r="D58" s="78">
        <v>0.77</v>
      </c>
      <c r="E58" s="78">
        <v>0.17</v>
      </c>
      <c r="F58" s="78">
        <v>50</v>
      </c>
      <c r="G58" s="2" t="s">
        <v>29</v>
      </c>
      <c r="H58" s="89">
        <v>643</v>
      </c>
      <c r="I58" s="81">
        <f t="shared" si="7"/>
        <v>12.86</v>
      </c>
      <c r="J58" s="81">
        <f t="shared" si="23"/>
        <v>64.3</v>
      </c>
      <c r="K58" s="80">
        <f t="shared" si="24"/>
        <v>0.57234715999999997</v>
      </c>
      <c r="O58" s="152">
        <f t="shared" si="5"/>
        <v>0</v>
      </c>
      <c r="P58" s="149">
        <f t="shared" si="6"/>
        <v>0.57234716000000008</v>
      </c>
      <c r="V58" s="21"/>
    </row>
    <row r="59" spans="1:27" x14ac:dyDescent="0.25">
      <c r="A59" s="78" t="s">
        <v>78</v>
      </c>
      <c r="B59" s="78">
        <v>6</v>
      </c>
      <c r="C59" s="78">
        <v>0.62</v>
      </c>
      <c r="D59" s="78">
        <v>0.55000000000000004</v>
      </c>
      <c r="E59" s="78">
        <v>0.17</v>
      </c>
      <c r="F59" s="78">
        <v>50</v>
      </c>
      <c r="G59" s="68" t="s">
        <v>29</v>
      </c>
      <c r="H59" s="89">
        <v>1000</v>
      </c>
      <c r="I59" s="81">
        <f t="shared" si="7"/>
        <v>20</v>
      </c>
      <c r="J59" s="81">
        <f t="shared" si="23"/>
        <v>120</v>
      </c>
      <c r="K59" s="80">
        <f t="shared" si="24"/>
        <v>1.1594000000000002</v>
      </c>
      <c r="O59" s="152">
        <f t="shared" si="5"/>
        <v>0</v>
      </c>
      <c r="P59" s="149">
        <f t="shared" si="6"/>
        <v>1.1594000000000002</v>
      </c>
      <c r="V59" s="21"/>
    </row>
    <row r="60" spans="1:27" x14ac:dyDescent="0.25">
      <c r="A60" s="78" t="s">
        <v>79</v>
      </c>
      <c r="B60" s="78">
        <v>8</v>
      </c>
      <c r="C60" s="19">
        <v>0.6</v>
      </c>
      <c r="D60" s="78">
        <v>0.77</v>
      </c>
      <c r="E60" s="78">
        <v>0.17</v>
      </c>
      <c r="F60" s="78">
        <v>50</v>
      </c>
      <c r="G60" s="2" t="s">
        <v>29</v>
      </c>
      <c r="H60" s="89">
        <v>1042</v>
      </c>
      <c r="I60" s="81">
        <f t="shared" si="7"/>
        <v>20.84</v>
      </c>
      <c r="J60" s="81">
        <f t="shared" si="23"/>
        <v>166.72</v>
      </c>
      <c r="K60" s="80">
        <f t="shared" si="24"/>
        <v>1.6367736000000002</v>
      </c>
      <c r="O60" s="152">
        <f t="shared" si="5"/>
        <v>0</v>
      </c>
      <c r="P60" s="149">
        <f t="shared" si="6"/>
        <v>1.6367735999999999</v>
      </c>
      <c r="V60" s="21"/>
    </row>
    <row r="61" spans="1:27" x14ac:dyDescent="0.25">
      <c r="A61" s="78" t="s">
        <v>80</v>
      </c>
      <c r="B61" s="78">
        <v>8</v>
      </c>
      <c r="C61" s="78">
        <v>0.91</v>
      </c>
      <c r="D61" s="78">
        <v>0.91</v>
      </c>
      <c r="E61" s="78">
        <v>0.1</v>
      </c>
      <c r="F61" s="78">
        <v>25</v>
      </c>
      <c r="G61" s="2" t="s">
        <v>27</v>
      </c>
      <c r="H61" s="89">
        <v>1150</v>
      </c>
      <c r="I61" s="81">
        <f t="shared" si="7"/>
        <v>46</v>
      </c>
      <c r="J61" s="81">
        <f t="shared" si="23"/>
        <v>368</v>
      </c>
      <c r="K61" s="80">
        <f t="shared" si="24"/>
        <v>3.8092600000000001</v>
      </c>
      <c r="O61" s="152">
        <f t="shared" si="5"/>
        <v>0</v>
      </c>
      <c r="P61" s="149">
        <f t="shared" si="6"/>
        <v>3.8092600000000005</v>
      </c>
      <c r="V61" s="21"/>
    </row>
    <row r="62" spans="1:27" x14ac:dyDescent="0.25">
      <c r="A62" s="78" t="s">
        <v>81</v>
      </c>
      <c r="B62" s="78">
        <v>3</v>
      </c>
      <c r="C62" s="78">
        <v>0.55000000000000004</v>
      </c>
      <c r="D62" s="78">
        <v>0.55000000000000004</v>
      </c>
      <c r="E62" s="78">
        <v>0.09</v>
      </c>
      <c r="F62" s="78">
        <v>50</v>
      </c>
      <c r="G62" s="2" t="s">
        <v>29</v>
      </c>
      <c r="H62" s="89">
        <v>0</v>
      </c>
      <c r="I62" s="81">
        <f t="shared" si="7"/>
        <v>0</v>
      </c>
      <c r="J62" s="81">
        <f t="shared" si="23"/>
        <v>0</v>
      </c>
      <c r="K62" s="80">
        <f t="shared" si="24"/>
        <v>0</v>
      </c>
      <c r="O62" s="152">
        <f t="shared" si="5"/>
        <v>0</v>
      </c>
      <c r="P62" s="149">
        <f t="shared" si="6"/>
        <v>0</v>
      </c>
      <c r="V62" s="21"/>
    </row>
    <row r="63" spans="1:27" x14ac:dyDescent="0.25">
      <c r="A63" s="78" t="s">
        <v>82</v>
      </c>
      <c r="B63" s="78">
        <v>4.5</v>
      </c>
      <c r="C63" s="78">
        <v>0.42</v>
      </c>
      <c r="D63" s="78">
        <v>0.42</v>
      </c>
      <c r="E63" s="78">
        <v>0.14000000000000001</v>
      </c>
      <c r="F63" s="78">
        <v>25</v>
      </c>
      <c r="G63" s="2"/>
      <c r="H63" s="89">
        <v>1000</v>
      </c>
      <c r="I63" s="81">
        <f t="shared" si="7"/>
        <v>40</v>
      </c>
      <c r="J63" s="81">
        <f t="shared" si="23"/>
        <v>180</v>
      </c>
      <c r="K63" s="80">
        <f t="shared" si="24"/>
        <v>0.98784000000000005</v>
      </c>
      <c r="O63" s="152">
        <f t="shared" si="5"/>
        <v>0</v>
      </c>
      <c r="P63" s="149">
        <f t="shared" si="6"/>
        <v>0.98783999999999994</v>
      </c>
      <c r="V63" s="21"/>
    </row>
    <row r="64" spans="1:27" x14ac:dyDescent="0.25">
      <c r="A64" s="221" t="s">
        <v>83</v>
      </c>
      <c r="B64" s="222"/>
      <c r="C64" s="222"/>
      <c r="D64" s="222"/>
      <c r="E64" s="222"/>
      <c r="F64" s="222"/>
      <c r="G64" s="222"/>
      <c r="H64" s="222"/>
      <c r="I64" s="222"/>
      <c r="J64" s="222"/>
      <c r="K64" s="223"/>
      <c r="O64" s="152">
        <f t="shared" si="5"/>
        <v>0</v>
      </c>
      <c r="P64" s="149">
        <f t="shared" si="6"/>
        <v>0</v>
      </c>
      <c r="V64" s="21"/>
    </row>
    <row r="65" spans="1:28" x14ac:dyDescent="0.25">
      <c r="A65" s="22" t="s">
        <v>1</v>
      </c>
      <c r="B65" s="22" t="s">
        <v>2</v>
      </c>
      <c r="C65" s="22" t="s">
        <v>3</v>
      </c>
      <c r="D65" s="22" t="s">
        <v>4</v>
      </c>
      <c r="E65" s="22" t="s">
        <v>84</v>
      </c>
      <c r="F65" s="22" t="s">
        <v>6</v>
      </c>
      <c r="G65" s="2"/>
      <c r="H65" s="88" t="s">
        <v>8</v>
      </c>
      <c r="I65" s="82" t="s">
        <v>9</v>
      </c>
      <c r="J65" s="82" t="s">
        <v>10</v>
      </c>
      <c r="K65" s="49" t="s">
        <v>11</v>
      </c>
      <c r="O65" s="152" t="e">
        <f t="shared" si="5"/>
        <v>#VALUE!</v>
      </c>
      <c r="P65" s="149" t="e">
        <f t="shared" si="6"/>
        <v>#VALUE!</v>
      </c>
      <c r="V65" s="21"/>
    </row>
    <row r="66" spans="1:28" x14ac:dyDescent="0.25">
      <c r="A66" s="22" t="s">
        <v>85</v>
      </c>
      <c r="B66" s="22">
        <v>3</v>
      </c>
      <c r="C66" s="22">
        <v>0.33</v>
      </c>
      <c r="D66" s="22">
        <v>0.6</v>
      </c>
      <c r="E66" s="22">
        <v>0.17</v>
      </c>
      <c r="F66" s="22">
        <v>50</v>
      </c>
      <c r="G66" s="2"/>
      <c r="H66" s="89">
        <v>3066</v>
      </c>
      <c r="I66" s="81">
        <f>H66/F66</f>
        <v>61.32</v>
      </c>
      <c r="J66" s="81">
        <f t="shared" ref="J66:J76" si="25">B66*I66</f>
        <v>183.96</v>
      </c>
      <c r="K66" s="80">
        <f t="shared" ref="K66:K76" si="26">I66*C66*D66*E66</f>
        <v>2.0640312000000001</v>
      </c>
      <c r="O66" s="152">
        <f t="shared" si="5"/>
        <v>0</v>
      </c>
      <c r="P66" s="149">
        <f t="shared" si="6"/>
        <v>2.0640312000000001</v>
      </c>
      <c r="V66" s="21"/>
    </row>
    <row r="67" spans="1:28" x14ac:dyDescent="0.25">
      <c r="A67" s="22" t="s">
        <v>86</v>
      </c>
      <c r="B67" s="22">
        <v>5</v>
      </c>
      <c r="C67" s="22">
        <v>0.71</v>
      </c>
      <c r="D67" s="22">
        <v>0.38</v>
      </c>
      <c r="E67" s="22">
        <v>0.15</v>
      </c>
      <c r="F67" s="22">
        <v>50</v>
      </c>
      <c r="G67" s="2" t="s">
        <v>87</v>
      </c>
      <c r="H67" s="89">
        <v>541</v>
      </c>
      <c r="I67" s="81">
        <f t="shared" ref="I67:I76" si="27">H67/F67</f>
        <v>10.82</v>
      </c>
      <c r="J67" s="81">
        <f t="shared" si="25"/>
        <v>54.1</v>
      </c>
      <c r="K67" s="80">
        <f t="shared" si="26"/>
        <v>0.43788540000000004</v>
      </c>
      <c r="O67" s="152">
        <f t="shared" si="5"/>
        <v>0</v>
      </c>
      <c r="P67" s="149">
        <f t="shared" si="6"/>
        <v>0.43788539999999998</v>
      </c>
      <c r="V67" s="21"/>
    </row>
    <row r="68" spans="1:28" x14ac:dyDescent="0.25">
      <c r="A68" s="22" t="s">
        <v>88</v>
      </c>
      <c r="B68" s="22">
        <v>12</v>
      </c>
      <c r="C68" s="22">
        <v>1.1299999999999999</v>
      </c>
      <c r="D68" s="22">
        <v>0.59</v>
      </c>
      <c r="E68" s="22">
        <v>0.17</v>
      </c>
      <c r="F68" s="22">
        <v>50</v>
      </c>
      <c r="G68" s="2" t="s">
        <v>87</v>
      </c>
      <c r="H68" s="89">
        <v>1025</v>
      </c>
      <c r="I68" s="81">
        <f t="shared" si="27"/>
        <v>20.5</v>
      </c>
      <c r="J68" s="81">
        <f t="shared" si="25"/>
        <v>246</v>
      </c>
      <c r="K68" s="80">
        <f t="shared" si="26"/>
        <v>2.3234495000000002</v>
      </c>
      <c r="O68" s="152">
        <f t="shared" ref="O68:O131" si="28">+L68*B68</f>
        <v>0</v>
      </c>
      <c r="P68" s="149">
        <f t="shared" ref="P68:P131" si="29">+C68*D68*E68*I68</f>
        <v>2.3234494999999997</v>
      </c>
      <c r="V68" s="21"/>
    </row>
    <row r="69" spans="1:28" x14ac:dyDescent="0.25">
      <c r="A69" s="22" t="s">
        <v>89</v>
      </c>
      <c r="B69" s="22">
        <v>5.9</v>
      </c>
      <c r="C69" s="22">
        <v>0.51</v>
      </c>
      <c r="D69" s="22">
        <v>0.27</v>
      </c>
      <c r="E69" s="22">
        <v>0.18</v>
      </c>
      <c r="F69" s="22">
        <v>100</v>
      </c>
      <c r="G69" s="2" t="s">
        <v>87</v>
      </c>
      <c r="H69" s="89">
        <v>3080</v>
      </c>
      <c r="I69" s="1">
        <f>H69/F69</f>
        <v>30.8</v>
      </c>
      <c r="J69" s="1">
        <f t="shared" si="25"/>
        <v>181.72000000000003</v>
      </c>
      <c r="K69" s="1">
        <f t="shared" si="26"/>
        <v>0.76340880000000011</v>
      </c>
      <c r="O69" s="152">
        <f t="shared" si="28"/>
        <v>0</v>
      </c>
      <c r="P69" s="149">
        <f t="shared" si="29"/>
        <v>0.76340880000000011</v>
      </c>
      <c r="V69" s="21"/>
    </row>
    <row r="70" spans="1:28" x14ac:dyDescent="0.25">
      <c r="A70" s="22" t="s">
        <v>90</v>
      </c>
      <c r="B70" s="22">
        <v>2</v>
      </c>
      <c r="C70" s="22">
        <v>0.49</v>
      </c>
      <c r="D70" s="22">
        <v>0.25</v>
      </c>
      <c r="E70" s="22">
        <v>0.17</v>
      </c>
      <c r="F70" s="22">
        <v>100</v>
      </c>
      <c r="G70" s="2" t="s">
        <v>87</v>
      </c>
      <c r="H70" s="89">
        <v>200</v>
      </c>
      <c r="I70" s="81">
        <f t="shared" si="27"/>
        <v>2</v>
      </c>
      <c r="J70" s="81">
        <f t="shared" si="25"/>
        <v>4</v>
      </c>
      <c r="K70" s="80">
        <f t="shared" si="26"/>
        <v>4.165E-2</v>
      </c>
      <c r="O70" s="152">
        <f t="shared" si="28"/>
        <v>0</v>
      </c>
      <c r="P70" s="149">
        <f t="shared" si="29"/>
        <v>4.165E-2</v>
      </c>
      <c r="V70" s="21"/>
    </row>
    <row r="71" spans="1:28" x14ac:dyDescent="0.25">
      <c r="A71" s="22" t="s">
        <v>91</v>
      </c>
      <c r="B71" s="22">
        <v>6.5</v>
      </c>
      <c r="C71" s="22">
        <v>0.51</v>
      </c>
      <c r="D71" s="22">
        <v>0.27</v>
      </c>
      <c r="E71" s="22">
        <v>0.16</v>
      </c>
      <c r="F71" s="22">
        <v>50</v>
      </c>
      <c r="G71" s="2" t="s">
        <v>87</v>
      </c>
      <c r="H71" s="89">
        <v>400</v>
      </c>
      <c r="I71" s="81">
        <f t="shared" si="27"/>
        <v>8</v>
      </c>
      <c r="J71" s="81">
        <f t="shared" si="25"/>
        <v>52</v>
      </c>
      <c r="K71" s="80">
        <f t="shared" si="26"/>
        <v>0.17625600000000002</v>
      </c>
      <c r="O71" s="152">
        <f t="shared" si="28"/>
        <v>0</v>
      </c>
      <c r="P71" s="149">
        <f t="shared" si="29"/>
        <v>0.17625600000000002</v>
      </c>
      <c r="V71" s="21"/>
    </row>
    <row r="72" spans="1:28" x14ac:dyDescent="0.25">
      <c r="A72" s="22" t="s">
        <v>92</v>
      </c>
      <c r="B72" s="22">
        <v>10.5</v>
      </c>
      <c r="C72" s="22">
        <v>0.95</v>
      </c>
      <c r="D72" s="22">
        <v>0.5</v>
      </c>
      <c r="E72" s="22">
        <v>0.17</v>
      </c>
      <c r="F72" s="22">
        <v>50</v>
      </c>
      <c r="G72" s="2" t="s">
        <v>87</v>
      </c>
      <c r="H72" s="89">
        <v>1079</v>
      </c>
      <c r="I72" s="81">
        <f t="shared" si="27"/>
        <v>21.58</v>
      </c>
      <c r="J72" s="81">
        <f t="shared" si="25"/>
        <v>226.58999999999997</v>
      </c>
      <c r="K72" s="80">
        <f t="shared" si="26"/>
        <v>1.7425849999999998</v>
      </c>
      <c r="O72" s="152">
        <f t="shared" si="28"/>
        <v>0</v>
      </c>
      <c r="P72" s="149">
        <f t="shared" si="29"/>
        <v>1.7425849999999998</v>
      </c>
      <c r="V72" s="21"/>
    </row>
    <row r="73" spans="1:28" x14ac:dyDescent="0.25">
      <c r="A73" s="22" t="s">
        <v>93</v>
      </c>
      <c r="B73" s="22">
        <v>6</v>
      </c>
      <c r="C73" s="22">
        <v>0.83</v>
      </c>
      <c r="D73" s="22">
        <v>0.44</v>
      </c>
      <c r="E73" s="22">
        <v>0.15</v>
      </c>
      <c r="F73" s="22">
        <v>50</v>
      </c>
      <c r="G73" s="2" t="s">
        <v>87</v>
      </c>
      <c r="H73" s="89">
        <v>1000</v>
      </c>
      <c r="I73" s="81">
        <f t="shared" si="27"/>
        <v>20</v>
      </c>
      <c r="J73" s="81">
        <f t="shared" si="25"/>
        <v>120</v>
      </c>
      <c r="K73" s="80">
        <f t="shared" si="26"/>
        <v>1.0955999999999999</v>
      </c>
      <c r="O73" s="152">
        <f t="shared" si="28"/>
        <v>0</v>
      </c>
      <c r="P73" s="149">
        <f t="shared" si="29"/>
        <v>1.0955999999999999</v>
      </c>
      <c r="T73" s="23"/>
      <c r="U73" s="23"/>
      <c r="V73" s="23"/>
    </row>
    <row r="74" spans="1:28" x14ac:dyDescent="0.25">
      <c r="A74" s="22" t="s">
        <v>94</v>
      </c>
      <c r="B74" s="22">
        <v>5</v>
      </c>
      <c r="C74" s="22">
        <v>0.62</v>
      </c>
      <c r="D74" s="22">
        <v>0.33</v>
      </c>
      <c r="E74" s="22">
        <v>0.19</v>
      </c>
      <c r="F74" s="22">
        <v>50</v>
      </c>
      <c r="G74" s="2" t="s">
        <v>87</v>
      </c>
      <c r="H74" s="89">
        <v>1000</v>
      </c>
      <c r="I74" s="81">
        <f t="shared" si="27"/>
        <v>20</v>
      </c>
      <c r="J74" s="81">
        <f t="shared" si="25"/>
        <v>100</v>
      </c>
      <c r="K74" s="80">
        <f t="shared" si="26"/>
        <v>0.77748000000000006</v>
      </c>
      <c r="O74" s="152">
        <f t="shared" si="28"/>
        <v>0</v>
      </c>
      <c r="P74" s="149">
        <f t="shared" si="29"/>
        <v>0.77747999999999995</v>
      </c>
    </row>
    <row r="75" spans="1:28" x14ac:dyDescent="0.25">
      <c r="A75" s="22" t="s">
        <v>95</v>
      </c>
      <c r="B75" s="22">
        <v>9</v>
      </c>
      <c r="C75" s="22">
        <v>0.93</v>
      </c>
      <c r="D75" s="22">
        <v>0.47</v>
      </c>
      <c r="E75" s="22">
        <v>0.15</v>
      </c>
      <c r="F75" s="22">
        <v>50</v>
      </c>
      <c r="G75" s="2" t="s">
        <v>87</v>
      </c>
      <c r="H75" s="89">
        <v>1100</v>
      </c>
      <c r="I75" s="81">
        <f t="shared" si="27"/>
        <v>22</v>
      </c>
      <c r="J75" s="81">
        <f t="shared" si="25"/>
        <v>198</v>
      </c>
      <c r="K75" s="80">
        <f t="shared" si="26"/>
        <v>1.4424299999999999</v>
      </c>
      <c r="O75" s="152">
        <f t="shared" si="28"/>
        <v>0</v>
      </c>
      <c r="P75" s="149">
        <f t="shared" si="29"/>
        <v>1.4424299999999999</v>
      </c>
    </row>
    <row r="76" spans="1:28" x14ac:dyDescent="0.25">
      <c r="A76" s="22" t="s">
        <v>96</v>
      </c>
      <c r="B76" s="22">
        <v>10</v>
      </c>
      <c r="C76" s="60">
        <v>1</v>
      </c>
      <c r="D76" s="22">
        <v>0.52</v>
      </c>
      <c r="E76" s="22">
        <v>0.17</v>
      </c>
      <c r="F76" s="61">
        <v>50</v>
      </c>
      <c r="G76" s="101" t="s">
        <v>87</v>
      </c>
      <c r="H76" s="89">
        <v>700</v>
      </c>
      <c r="I76" s="81">
        <f t="shared" si="27"/>
        <v>14</v>
      </c>
      <c r="J76" s="81">
        <f t="shared" si="25"/>
        <v>140</v>
      </c>
      <c r="K76" s="80">
        <f t="shared" si="26"/>
        <v>1.2376</v>
      </c>
      <c r="O76" s="152">
        <f t="shared" si="28"/>
        <v>0</v>
      </c>
      <c r="P76" s="149">
        <f t="shared" si="29"/>
        <v>1.2376</v>
      </c>
      <c r="R76" s="27"/>
      <c r="S76" s="27"/>
      <c r="T76" s="27"/>
      <c r="U76" s="27"/>
      <c r="V76" s="27"/>
      <c r="Z76" s="28"/>
      <c r="AA76" s="29"/>
      <c r="AB76" s="27"/>
    </row>
    <row r="77" spans="1:28" x14ac:dyDescent="0.25">
      <c r="A77" s="265" t="s">
        <v>97</v>
      </c>
      <c r="B77" s="266"/>
      <c r="C77" s="266"/>
      <c r="D77" s="266"/>
      <c r="E77" s="266"/>
      <c r="F77" s="266"/>
      <c r="G77" s="266"/>
      <c r="H77" s="266"/>
      <c r="I77" s="266"/>
      <c r="J77" s="266"/>
      <c r="K77" s="267"/>
      <c r="O77" s="152">
        <f t="shared" si="28"/>
        <v>0</v>
      </c>
      <c r="P77" s="149">
        <f t="shared" si="29"/>
        <v>0</v>
      </c>
      <c r="R77" s="27"/>
      <c r="S77" s="27"/>
      <c r="T77" s="27"/>
      <c r="U77" s="27"/>
      <c r="V77" s="27"/>
      <c r="Z77" s="28"/>
      <c r="AA77" s="29"/>
      <c r="AB77" s="27"/>
    </row>
    <row r="78" spans="1:28" ht="17.25" customHeight="1" x14ac:dyDescent="0.25">
      <c r="A78" s="79" t="s">
        <v>1</v>
      </c>
      <c r="B78" s="79" t="s">
        <v>2</v>
      </c>
      <c r="C78" s="79" t="s">
        <v>3</v>
      </c>
      <c r="D78" s="79" t="s">
        <v>4</v>
      </c>
      <c r="E78" s="79" t="s">
        <v>84</v>
      </c>
      <c r="F78" s="79" t="s">
        <v>6</v>
      </c>
      <c r="G78" s="70"/>
      <c r="H78" s="88" t="s">
        <v>8</v>
      </c>
      <c r="I78" s="82" t="s">
        <v>9</v>
      </c>
      <c r="J78" s="82" t="s">
        <v>10</v>
      </c>
      <c r="K78" s="49" t="s">
        <v>11</v>
      </c>
      <c r="O78" s="152" t="e">
        <f t="shared" si="28"/>
        <v>#VALUE!</v>
      </c>
      <c r="P78" s="149" t="e">
        <f t="shared" si="29"/>
        <v>#VALUE!</v>
      </c>
      <c r="R78" s="27"/>
      <c r="S78" s="27"/>
      <c r="T78" s="27"/>
      <c r="U78" s="27"/>
      <c r="V78" s="27"/>
      <c r="Z78" s="28"/>
      <c r="AA78" s="29"/>
      <c r="AB78" s="27"/>
    </row>
    <row r="79" spans="1:28" s="27" customFormat="1" x14ac:dyDescent="0.25">
      <c r="A79" s="79" t="s">
        <v>98</v>
      </c>
      <c r="B79" s="79">
        <v>2.5</v>
      </c>
      <c r="C79" s="79">
        <v>0.52</v>
      </c>
      <c r="D79" s="79">
        <v>0.27</v>
      </c>
      <c r="E79" s="79">
        <v>0.19</v>
      </c>
      <c r="F79" s="79">
        <v>25</v>
      </c>
      <c r="G79" s="99"/>
      <c r="H79" s="96">
        <v>1000</v>
      </c>
      <c r="I79" s="83">
        <f t="shared" si="7"/>
        <v>40</v>
      </c>
      <c r="J79" s="83">
        <f>B79*I79</f>
        <v>100</v>
      </c>
      <c r="K79" s="80">
        <f>I79*C79*D79*E79</f>
        <v>1.0670400000000002</v>
      </c>
      <c r="L79" s="3"/>
      <c r="M79" s="3"/>
      <c r="N79" s="3"/>
      <c r="O79" s="152">
        <f t="shared" si="28"/>
        <v>0</v>
      </c>
      <c r="P79" s="149">
        <f t="shared" si="29"/>
        <v>1.0670400000000002</v>
      </c>
      <c r="Q79"/>
      <c r="W79"/>
      <c r="X79"/>
      <c r="Y79"/>
      <c r="Z79" s="28"/>
      <c r="AA79" s="29"/>
    </row>
    <row r="80" spans="1:28" s="27" customFormat="1" x14ac:dyDescent="0.25">
      <c r="A80" s="79" t="s">
        <v>99</v>
      </c>
      <c r="B80" s="79">
        <v>3</v>
      </c>
      <c r="C80" s="79">
        <v>0.62</v>
      </c>
      <c r="D80" s="79">
        <v>0.31</v>
      </c>
      <c r="E80" s="79">
        <v>0.19</v>
      </c>
      <c r="F80" s="79">
        <v>25</v>
      </c>
      <c r="G80" s="99"/>
      <c r="H80" s="96">
        <v>500</v>
      </c>
      <c r="I80" s="83">
        <f>H80/F80</f>
        <v>20</v>
      </c>
      <c r="J80" s="83">
        <f>B80*I80</f>
        <v>60</v>
      </c>
      <c r="K80" s="80">
        <f>I80*C80*D80*E80</f>
        <v>0.73036000000000001</v>
      </c>
      <c r="L80" s="3"/>
      <c r="M80" s="3"/>
      <c r="N80" s="3"/>
      <c r="O80" s="152">
        <f t="shared" si="28"/>
        <v>0</v>
      </c>
      <c r="P80" s="149">
        <f t="shared" si="29"/>
        <v>0.73036000000000001</v>
      </c>
      <c r="Q80"/>
      <c r="W80"/>
      <c r="X80"/>
      <c r="Y80"/>
      <c r="Z80" s="28"/>
      <c r="AA80" s="29"/>
    </row>
    <row r="81" spans="1:28" s="27" customFormat="1" x14ac:dyDescent="0.25">
      <c r="A81" s="79" t="s">
        <v>100</v>
      </c>
      <c r="B81" s="79">
        <v>4.5</v>
      </c>
      <c r="C81" s="79">
        <v>0.74</v>
      </c>
      <c r="D81" s="79">
        <v>0.36</v>
      </c>
      <c r="E81" s="79">
        <v>0.23</v>
      </c>
      <c r="F81" s="79">
        <v>25</v>
      </c>
      <c r="G81" s="99"/>
      <c r="H81" s="96">
        <v>1000</v>
      </c>
      <c r="I81" s="83">
        <f>H81/F81</f>
        <v>40</v>
      </c>
      <c r="J81" s="83">
        <f>B81*I81</f>
        <v>180</v>
      </c>
      <c r="K81" s="80">
        <f>I81*C81*D81*E81</f>
        <v>2.4508800000000002</v>
      </c>
      <c r="L81" s="3"/>
      <c r="M81" s="3"/>
      <c r="N81" s="3"/>
      <c r="O81" s="152">
        <f t="shared" si="28"/>
        <v>0</v>
      </c>
      <c r="P81" s="149">
        <f t="shared" si="29"/>
        <v>2.4508799999999997</v>
      </c>
      <c r="Q81"/>
      <c r="R81" s="30"/>
      <c r="S81" s="31"/>
      <c r="T81" s="32"/>
      <c r="U81" s="32"/>
      <c r="V81" s="33"/>
      <c r="W81"/>
      <c r="X81"/>
      <c r="Y81"/>
      <c r="Z81" s="28"/>
      <c r="AA81" s="29"/>
    </row>
    <row r="82" spans="1:28" s="27" customFormat="1" x14ac:dyDescent="0.25">
      <c r="A82" s="79">
        <v>40</v>
      </c>
      <c r="B82" s="79">
        <v>5.2</v>
      </c>
      <c r="C82" s="79">
        <v>0.84</v>
      </c>
      <c r="D82" s="79">
        <v>0.41</v>
      </c>
      <c r="E82" s="79">
        <v>0.23</v>
      </c>
      <c r="F82" s="79">
        <v>25</v>
      </c>
      <c r="G82" s="99"/>
      <c r="H82" s="96">
        <v>1000</v>
      </c>
      <c r="I82" s="83">
        <f t="shared" si="7"/>
        <v>40</v>
      </c>
      <c r="J82" s="83">
        <f>B82*I82</f>
        <v>208</v>
      </c>
      <c r="K82" s="80">
        <f>I82*C82*D82*E82</f>
        <v>3.1684800000000002</v>
      </c>
      <c r="L82" s="3"/>
      <c r="M82" s="3"/>
      <c r="N82" s="3"/>
      <c r="O82" s="152">
        <f t="shared" si="28"/>
        <v>0</v>
      </c>
      <c r="P82" s="149">
        <f t="shared" si="29"/>
        <v>3.1684800000000002</v>
      </c>
      <c r="Q82"/>
      <c r="R82" s="34"/>
      <c r="S82" s="35"/>
      <c r="T82"/>
      <c r="U82"/>
      <c r="V82" s="36"/>
      <c r="W82"/>
      <c r="X82"/>
      <c r="Y82"/>
      <c r="Z82" s="28"/>
      <c r="AA82" s="29"/>
    </row>
    <row r="83" spans="1:28" s="27" customFormat="1" x14ac:dyDescent="0.25">
      <c r="A83" s="268" t="s">
        <v>101</v>
      </c>
      <c r="B83" s="269"/>
      <c r="C83" s="269"/>
      <c r="D83" s="269"/>
      <c r="E83" s="269"/>
      <c r="F83" s="269"/>
      <c r="G83" s="269"/>
      <c r="H83" s="269"/>
      <c r="I83" s="269"/>
      <c r="J83" s="269"/>
      <c r="K83" s="269"/>
      <c r="L83" s="3"/>
      <c r="M83" s="3"/>
      <c r="N83" s="3"/>
      <c r="O83" s="152">
        <f t="shared" si="28"/>
        <v>0</v>
      </c>
      <c r="P83" s="149">
        <f t="shared" si="29"/>
        <v>0</v>
      </c>
      <c r="Q83"/>
      <c r="R83" s="34"/>
      <c r="S83" s="35"/>
      <c r="T83"/>
      <c r="U83"/>
      <c r="V83" s="36"/>
      <c r="W83"/>
      <c r="X83"/>
      <c r="Y83"/>
      <c r="Z83" s="28"/>
      <c r="AA83" s="29"/>
    </row>
    <row r="84" spans="1:28" s="27" customFormat="1" x14ac:dyDescent="0.25">
      <c r="A84" s="118" t="s">
        <v>1</v>
      </c>
      <c r="B84" s="118" t="s">
        <v>2</v>
      </c>
      <c r="C84" s="118" t="s">
        <v>3</v>
      </c>
      <c r="D84" s="118" t="s">
        <v>4</v>
      </c>
      <c r="E84" s="118" t="s">
        <v>84</v>
      </c>
      <c r="F84" s="118" t="s">
        <v>6</v>
      </c>
      <c r="G84" s="99"/>
      <c r="H84" s="88" t="s">
        <v>8</v>
      </c>
      <c r="I84" s="82" t="s">
        <v>9</v>
      </c>
      <c r="J84" s="82" t="s">
        <v>10</v>
      </c>
      <c r="K84" s="49" t="s">
        <v>11</v>
      </c>
      <c r="L84" s="3"/>
      <c r="M84" s="3"/>
      <c r="N84" s="3"/>
      <c r="O84" s="152" t="e">
        <f t="shared" si="28"/>
        <v>#VALUE!</v>
      </c>
      <c r="P84" s="149" t="e">
        <f t="shared" si="29"/>
        <v>#VALUE!</v>
      </c>
      <c r="Q84"/>
      <c r="R84"/>
      <c r="S84"/>
      <c r="T84"/>
      <c r="U84"/>
      <c r="V84"/>
      <c r="W84"/>
      <c r="X84"/>
      <c r="Y84"/>
      <c r="Z84" s="28"/>
      <c r="AA84" s="29"/>
    </row>
    <row r="85" spans="1:28" s="27" customFormat="1" x14ac:dyDescent="0.25">
      <c r="A85" s="118" t="s">
        <v>102</v>
      </c>
      <c r="B85" s="118">
        <v>5</v>
      </c>
      <c r="C85" s="118">
        <v>0.42</v>
      </c>
      <c r="D85" s="118">
        <v>0.52</v>
      </c>
      <c r="E85" s="119">
        <v>0.14000000000000001</v>
      </c>
      <c r="F85" s="118">
        <v>25</v>
      </c>
      <c r="G85" s="99"/>
      <c r="H85" s="96">
        <v>3625</v>
      </c>
      <c r="I85" s="83">
        <f t="shared" ref="I85:I89" si="30">H85/F85</f>
        <v>145</v>
      </c>
      <c r="J85" s="83">
        <f>B85*I85</f>
        <v>725</v>
      </c>
      <c r="K85" s="80">
        <f>I85*C85*D85*E85</f>
        <v>4.4335200000000006</v>
      </c>
      <c r="L85" s="3"/>
      <c r="M85" s="3"/>
      <c r="N85" s="3"/>
      <c r="O85" s="152">
        <f t="shared" si="28"/>
        <v>0</v>
      </c>
      <c r="P85" s="149">
        <f t="shared" si="29"/>
        <v>4.4335200000000006</v>
      </c>
      <c r="Q85"/>
      <c r="R85"/>
      <c r="S85"/>
      <c r="T85"/>
      <c r="U85"/>
      <c r="V85"/>
      <c r="W85"/>
      <c r="X85"/>
      <c r="Y85"/>
      <c r="Z85" s="28"/>
      <c r="AA85" s="29"/>
    </row>
    <row r="86" spans="1:28" s="27" customFormat="1" x14ac:dyDescent="0.25">
      <c r="A86" s="118" t="s">
        <v>103</v>
      </c>
      <c r="B86" s="118">
        <v>2</v>
      </c>
      <c r="C86" s="118">
        <v>0.41</v>
      </c>
      <c r="D86" s="118">
        <v>0.41</v>
      </c>
      <c r="E86" s="119">
        <v>0.05</v>
      </c>
      <c r="F86" s="118">
        <v>250</v>
      </c>
      <c r="G86" s="99"/>
      <c r="H86" s="96">
        <v>5000</v>
      </c>
      <c r="I86" s="83">
        <f t="shared" si="30"/>
        <v>20</v>
      </c>
      <c r="J86" s="83">
        <f>B86*I86</f>
        <v>40</v>
      </c>
      <c r="K86" s="80">
        <f>I86*C86*D86*E86</f>
        <v>0.1681</v>
      </c>
      <c r="L86" s="3"/>
      <c r="M86" s="3"/>
      <c r="N86" s="3"/>
      <c r="O86" s="152">
        <f t="shared" si="28"/>
        <v>0</v>
      </c>
      <c r="P86" s="149">
        <f t="shared" si="29"/>
        <v>0.16809999999999997</v>
      </c>
      <c r="Q86"/>
      <c r="R86"/>
      <c r="S86"/>
      <c r="T86"/>
      <c r="U86"/>
      <c r="V86"/>
      <c r="W86"/>
      <c r="X86"/>
      <c r="Y86"/>
      <c r="Z86" s="28"/>
      <c r="AA86" s="29"/>
    </row>
    <row r="87" spans="1:28" s="27" customFormat="1" x14ac:dyDescent="0.25">
      <c r="A87" s="118" t="s">
        <v>104</v>
      </c>
      <c r="B87" s="118">
        <v>2</v>
      </c>
      <c r="C87" s="118">
        <v>0.34</v>
      </c>
      <c r="D87" s="118">
        <v>0.37</v>
      </c>
      <c r="E87" s="119">
        <v>0.05</v>
      </c>
      <c r="F87" s="118">
        <v>25</v>
      </c>
      <c r="G87" s="99"/>
      <c r="H87" s="96">
        <v>200</v>
      </c>
      <c r="I87" s="83">
        <f t="shared" si="30"/>
        <v>8</v>
      </c>
      <c r="J87" s="83">
        <f>B87*I87</f>
        <v>16</v>
      </c>
      <c r="K87" s="80">
        <f>I87*C87*D87*E87</f>
        <v>5.0320000000000004E-2</v>
      </c>
      <c r="L87" s="3"/>
      <c r="M87" s="3"/>
      <c r="N87" s="3"/>
      <c r="O87" s="152">
        <f t="shared" si="28"/>
        <v>0</v>
      </c>
      <c r="P87" s="149">
        <f t="shared" si="29"/>
        <v>5.0320000000000004E-2</v>
      </c>
      <c r="Q87"/>
      <c r="R87"/>
      <c r="S87"/>
      <c r="T87"/>
      <c r="U87"/>
      <c r="V87"/>
      <c r="W87"/>
      <c r="X87"/>
      <c r="Y87"/>
      <c r="Z87" s="28"/>
      <c r="AA87" s="29"/>
    </row>
    <row r="88" spans="1:28" s="27" customFormat="1" x14ac:dyDescent="0.25">
      <c r="A88" s="118" t="s">
        <v>105</v>
      </c>
      <c r="B88" s="118">
        <v>2</v>
      </c>
      <c r="C88" s="118">
        <v>0.42</v>
      </c>
      <c r="D88" s="118">
        <v>0.46</v>
      </c>
      <c r="E88" s="119">
        <v>0.05</v>
      </c>
      <c r="F88" s="118">
        <v>20</v>
      </c>
      <c r="G88" s="99"/>
      <c r="H88" s="96">
        <v>4</v>
      </c>
      <c r="I88" s="83">
        <f t="shared" si="30"/>
        <v>0.2</v>
      </c>
      <c r="J88" s="83">
        <f>B88*I88</f>
        <v>0.4</v>
      </c>
      <c r="K88" s="80">
        <f>I88*C88*D88*E88</f>
        <v>1.9320000000000001E-3</v>
      </c>
      <c r="L88" s="3"/>
      <c r="M88" s="3"/>
      <c r="N88" s="3"/>
      <c r="O88" s="152">
        <f t="shared" si="28"/>
        <v>0</v>
      </c>
      <c r="P88" s="149">
        <f t="shared" si="29"/>
        <v>1.9320000000000006E-3</v>
      </c>
      <c r="Q88"/>
      <c r="R88"/>
      <c r="S88"/>
      <c r="T88"/>
      <c r="U88"/>
      <c r="V88"/>
      <c r="W88"/>
      <c r="X88"/>
      <c r="Y88"/>
      <c r="Z88" s="28"/>
      <c r="AA88" s="29"/>
    </row>
    <row r="89" spans="1:28" s="27" customFormat="1" x14ac:dyDescent="0.25">
      <c r="A89" s="118" t="s">
        <v>106</v>
      </c>
      <c r="B89" s="118">
        <v>4</v>
      </c>
      <c r="C89" s="120">
        <v>0.5</v>
      </c>
      <c r="D89" s="118">
        <v>0.43</v>
      </c>
      <c r="E89" s="119">
        <v>0.04</v>
      </c>
      <c r="F89" s="118">
        <v>200</v>
      </c>
      <c r="G89" s="99"/>
      <c r="H89" s="96">
        <v>0</v>
      </c>
      <c r="I89" s="83">
        <f t="shared" si="30"/>
        <v>0</v>
      </c>
      <c r="J89" s="83">
        <f>B89*I89</f>
        <v>0</v>
      </c>
      <c r="K89" s="80">
        <f>I89*C89*D89*E89</f>
        <v>0</v>
      </c>
      <c r="L89" s="3"/>
      <c r="M89" s="3"/>
      <c r="N89" s="3"/>
      <c r="O89" s="152">
        <f t="shared" si="28"/>
        <v>0</v>
      </c>
      <c r="P89" s="149">
        <f t="shared" si="29"/>
        <v>0</v>
      </c>
      <c r="Q89"/>
      <c r="R89"/>
      <c r="S89" s="37"/>
      <c r="T89" s="37"/>
      <c r="U89" s="37"/>
      <c r="V89" s="37"/>
      <c r="W89"/>
      <c r="X89"/>
      <c r="Y89"/>
      <c r="Z89" s="28"/>
      <c r="AA89" s="29"/>
    </row>
    <row r="90" spans="1:28" s="27" customFormat="1" x14ac:dyDescent="0.25">
      <c r="A90" s="270" t="s">
        <v>107</v>
      </c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3"/>
      <c r="M90" s="3"/>
      <c r="N90" s="3"/>
      <c r="O90" s="152">
        <f t="shared" si="28"/>
        <v>0</v>
      </c>
      <c r="P90" s="149">
        <f t="shared" si="29"/>
        <v>0</v>
      </c>
      <c r="Q90"/>
      <c r="R90"/>
      <c r="S90" s="37"/>
      <c r="T90" s="37"/>
      <c r="U90" s="37"/>
      <c r="V90" s="37"/>
      <c r="W90"/>
      <c r="X90"/>
      <c r="Y90"/>
      <c r="Z90" s="28"/>
      <c r="AA90" s="29"/>
    </row>
    <row r="91" spans="1:28" s="27" customFormat="1" x14ac:dyDescent="0.25">
      <c r="A91" s="77" t="s">
        <v>1</v>
      </c>
      <c r="B91" s="77" t="s">
        <v>2</v>
      </c>
      <c r="C91" s="77" t="s">
        <v>3</v>
      </c>
      <c r="D91" s="77" t="s">
        <v>4</v>
      </c>
      <c r="E91" s="77" t="s">
        <v>84</v>
      </c>
      <c r="F91" s="77" t="s">
        <v>6</v>
      </c>
      <c r="G91" s="99"/>
      <c r="H91" s="88" t="s">
        <v>8</v>
      </c>
      <c r="I91" s="82" t="s">
        <v>9</v>
      </c>
      <c r="J91" s="82" t="s">
        <v>10</v>
      </c>
      <c r="K91" s="49" t="s">
        <v>11</v>
      </c>
      <c r="L91" s="3"/>
      <c r="M91" s="3"/>
      <c r="N91" s="3"/>
      <c r="O91" s="152" t="e">
        <f t="shared" si="28"/>
        <v>#VALUE!</v>
      </c>
      <c r="P91" s="149" t="e">
        <f t="shared" si="29"/>
        <v>#VALUE!</v>
      </c>
      <c r="Q91"/>
      <c r="R91"/>
      <c r="S91" s="37"/>
      <c r="T91" s="37"/>
      <c r="U91" s="37"/>
      <c r="V91" s="37"/>
      <c r="W91"/>
      <c r="X91"/>
      <c r="Y91"/>
      <c r="Z91" s="28"/>
      <c r="AA91" s="29"/>
    </row>
    <row r="92" spans="1:28" s="27" customFormat="1" x14ac:dyDescent="0.25">
      <c r="A92" s="77" t="s">
        <v>108</v>
      </c>
      <c r="B92" s="77">
        <v>4.5</v>
      </c>
      <c r="C92" s="77">
        <v>0.45</v>
      </c>
      <c r="D92" s="77">
        <v>0.3</v>
      </c>
      <c r="E92" s="77">
        <v>0.16</v>
      </c>
      <c r="F92" s="77">
        <v>100</v>
      </c>
      <c r="G92" s="99"/>
      <c r="H92" s="96">
        <v>2000</v>
      </c>
      <c r="I92" s="83">
        <f t="shared" ref="I92:I94" si="31">H92/F92</f>
        <v>20</v>
      </c>
      <c r="J92" s="83">
        <f>B92*I92</f>
        <v>90</v>
      </c>
      <c r="K92" s="80">
        <f>I92*C92*D92*E92</f>
        <v>0.43199999999999994</v>
      </c>
      <c r="L92" s="3"/>
      <c r="M92" s="3"/>
      <c r="N92" s="3"/>
      <c r="O92" s="152">
        <f t="shared" si="28"/>
        <v>0</v>
      </c>
      <c r="P92" s="149">
        <f t="shared" si="29"/>
        <v>0.43200000000000005</v>
      </c>
      <c r="Q92"/>
      <c r="R92"/>
      <c r="S92" s="37"/>
      <c r="T92" s="37"/>
      <c r="U92" s="37"/>
      <c r="V92" s="37"/>
      <c r="W92"/>
      <c r="X92"/>
      <c r="Y92"/>
      <c r="Z92" s="28"/>
      <c r="AA92" s="29"/>
    </row>
    <row r="93" spans="1:28" s="27" customFormat="1" x14ac:dyDescent="0.25">
      <c r="A93" s="77" t="s">
        <v>109</v>
      </c>
      <c r="B93" s="77">
        <v>7.5</v>
      </c>
      <c r="C93" s="77">
        <v>0.64</v>
      </c>
      <c r="D93" s="77">
        <v>0.25</v>
      </c>
      <c r="E93" s="77">
        <v>0.06</v>
      </c>
      <c r="F93" s="77">
        <v>100</v>
      </c>
      <c r="G93" s="99"/>
      <c r="H93" s="96">
        <v>2000</v>
      </c>
      <c r="I93" s="83">
        <f t="shared" si="31"/>
        <v>20</v>
      </c>
      <c r="J93" s="83">
        <f>B93*I93</f>
        <v>150</v>
      </c>
      <c r="K93" s="80">
        <f>I93*C93*D93*E93</f>
        <v>0.192</v>
      </c>
      <c r="L93" s="3"/>
      <c r="M93" s="3"/>
      <c r="N93" s="3"/>
      <c r="O93" s="152">
        <f t="shared" si="28"/>
        <v>0</v>
      </c>
      <c r="P93" s="149">
        <f t="shared" si="29"/>
        <v>0.19199999999999998</v>
      </c>
      <c r="Q93"/>
      <c r="R93"/>
      <c r="S93" s="37"/>
      <c r="T93" s="37"/>
      <c r="U93" s="37"/>
      <c r="V93" s="37"/>
      <c r="W93"/>
      <c r="X93"/>
      <c r="Y93"/>
      <c r="Z93" s="28"/>
      <c r="AA93" s="29"/>
    </row>
    <row r="94" spans="1:28" s="27" customFormat="1" x14ac:dyDescent="0.25">
      <c r="A94" s="77" t="s">
        <v>110</v>
      </c>
      <c r="B94" s="77">
        <v>5</v>
      </c>
      <c r="C94" s="77">
        <v>0.32</v>
      </c>
      <c r="D94" s="77">
        <v>0.46</v>
      </c>
      <c r="E94" s="115">
        <v>0.17</v>
      </c>
      <c r="F94" s="77">
        <v>50</v>
      </c>
      <c r="G94" s="99"/>
      <c r="H94" s="96">
        <v>903</v>
      </c>
      <c r="I94" s="83">
        <f t="shared" si="31"/>
        <v>18.059999999999999</v>
      </c>
      <c r="J94" s="83">
        <f>B94*I94</f>
        <v>90.3</v>
      </c>
      <c r="K94" s="80">
        <f>I94*C94*D94*E94</f>
        <v>0.45193344000000002</v>
      </c>
      <c r="L94" s="3"/>
      <c r="M94" s="3"/>
      <c r="N94" s="3"/>
      <c r="O94" s="152">
        <f t="shared" si="28"/>
        <v>0</v>
      </c>
      <c r="P94" s="149">
        <f t="shared" si="29"/>
        <v>0.45193343999999996</v>
      </c>
      <c r="Q94"/>
      <c r="R94"/>
      <c r="S94" s="37"/>
      <c r="T94" s="37"/>
      <c r="U94" s="37"/>
      <c r="V94" s="37"/>
      <c r="W94"/>
      <c r="X94"/>
      <c r="Y94"/>
      <c r="Z94" s="3"/>
      <c r="AA94" s="7"/>
      <c r="AB94"/>
    </row>
    <row r="95" spans="1:28" s="27" customFormat="1" x14ac:dyDescent="0.25">
      <c r="A95" s="272" t="s">
        <v>111</v>
      </c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3"/>
      <c r="M95" s="3"/>
      <c r="N95" s="3"/>
      <c r="O95" s="152">
        <f t="shared" si="28"/>
        <v>0</v>
      </c>
      <c r="P95" s="149">
        <f t="shared" si="29"/>
        <v>0</v>
      </c>
      <c r="Q95"/>
      <c r="R95"/>
      <c r="S95" s="16"/>
      <c r="T95" s="16"/>
      <c r="U95" s="16"/>
      <c r="V95" s="16"/>
      <c r="W95"/>
      <c r="X95"/>
      <c r="Y95"/>
      <c r="Z95" s="3"/>
      <c r="AA95" s="7"/>
      <c r="AB95"/>
    </row>
    <row r="96" spans="1:28" s="27" customFormat="1" x14ac:dyDescent="0.25">
      <c r="A96" s="38" t="s">
        <v>1</v>
      </c>
      <c r="B96" s="38" t="s">
        <v>2</v>
      </c>
      <c r="C96" s="38" t="s">
        <v>3</v>
      </c>
      <c r="D96" s="38" t="s">
        <v>4</v>
      </c>
      <c r="E96" s="38" t="s">
        <v>84</v>
      </c>
      <c r="F96" s="38" t="s">
        <v>6</v>
      </c>
      <c r="G96" s="70"/>
      <c r="H96" s="88" t="s">
        <v>8</v>
      </c>
      <c r="I96" s="82" t="s">
        <v>9</v>
      </c>
      <c r="J96" s="82" t="s">
        <v>10</v>
      </c>
      <c r="K96" s="49" t="s">
        <v>11</v>
      </c>
      <c r="L96" s="3"/>
      <c r="M96" s="3"/>
      <c r="N96" s="3"/>
      <c r="O96" s="152" t="e">
        <f t="shared" si="28"/>
        <v>#VALUE!</v>
      </c>
      <c r="P96" s="149" t="e">
        <f t="shared" si="29"/>
        <v>#VALUE!</v>
      </c>
      <c r="Q96"/>
      <c r="R96"/>
      <c r="S96" s="16"/>
      <c r="T96" s="16"/>
      <c r="U96" s="16"/>
      <c r="V96" s="16"/>
      <c r="W96"/>
      <c r="X96"/>
      <c r="Y96"/>
      <c r="Z96" s="3"/>
      <c r="AA96" s="7"/>
      <c r="AB96"/>
    </row>
    <row r="97" spans="1:25" x14ac:dyDescent="0.25">
      <c r="A97" s="38" t="s">
        <v>112</v>
      </c>
      <c r="B97" s="38">
        <v>7</v>
      </c>
      <c r="C97" s="38">
        <v>0.76</v>
      </c>
      <c r="D97" s="38">
        <v>0.76</v>
      </c>
      <c r="E97" s="38">
        <v>0.16</v>
      </c>
      <c r="F97" s="38">
        <v>50</v>
      </c>
      <c r="G97" s="70"/>
      <c r="H97" s="89">
        <v>500</v>
      </c>
      <c r="I97" s="81">
        <f>H97/F97</f>
        <v>10</v>
      </c>
      <c r="J97" s="81">
        <f t="shared" ref="J97:J112" si="32">B97*I97</f>
        <v>70</v>
      </c>
      <c r="K97" s="80">
        <f t="shared" ref="K97:K112" si="33">I97*C97*D97*E97</f>
        <v>0.92415999999999998</v>
      </c>
      <c r="O97" s="152">
        <f t="shared" si="28"/>
        <v>0</v>
      </c>
      <c r="P97" s="149">
        <f t="shared" si="29"/>
        <v>0.92415999999999998</v>
      </c>
      <c r="S97" s="16"/>
      <c r="T97" s="16"/>
      <c r="U97" s="16"/>
      <c r="V97" s="16"/>
    </row>
    <row r="98" spans="1:25" x14ac:dyDescent="0.25">
      <c r="A98" s="38" t="s">
        <v>113</v>
      </c>
      <c r="B98" s="38">
        <v>5</v>
      </c>
      <c r="C98" s="38">
        <v>0.69</v>
      </c>
      <c r="D98" s="38">
        <v>0.69</v>
      </c>
      <c r="E98" s="38">
        <v>7.0000000000000007E-2</v>
      </c>
      <c r="F98" s="38">
        <v>50</v>
      </c>
      <c r="G98" s="70"/>
      <c r="H98" s="89">
        <v>950</v>
      </c>
      <c r="I98" s="81">
        <f t="shared" si="7"/>
        <v>19</v>
      </c>
      <c r="J98" s="81">
        <f t="shared" si="32"/>
        <v>95</v>
      </c>
      <c r="K98" s="80">
        <f t="shared" si="33"/>
        <v>0.63321300000000003</v>
      </c>
      <c r="O98" s="152">
        <f t="shared" si="28"/>
        <v>0</v>
      </c>
      <c r="P98" s="149">
        <f t="shared" si="29"/>
        <v>0.63321299999999991</v>
      </c>
      <c r="S98" s="16"/>
      <c r="T98" s="16"/>
      <c r="U98" s="16"/>
      <c r="V98" s="16"/>
    </row>
    <row r="99" spans="1:25" x14ac:dyDescent="0.25">
      <c r="A99" s="38" t="s">
        <v>114</v>
      </c>
      <c r="B99" s="38">
        <v>5</v>
      </c>
      <c r="C99" s="38">
        <v>0.7</v>
      </c>
      <c r="D99" s="38">
        <v>0.7</v>
      </c>
      <c r="E99" s="38">
        <v>0.09</v>
      </c>
      <c r="F99" s="38">
        <v>50</v>
      </c>
      <c r="G99" s="70"/>
      <c r="H99" s="89">
        <v>466</v>
      </c>
      <c r="I99" s="81">
        <f t="shared" si="7"/>
        <v>9.32</v>
      </c>
      <c r="J99" s="81">
        <f t="shared" si="32"/>
        <v>46.6</v>
      </c>
      <c r="K99" s="80">
        <f t="shared" si="33"/>
        <v>0.41101199999999999</v>
      </c>
      <c r="O99" s="152">
        <f t="shared" si="28"/>
        <v>0</v>
      </c>
      <c r="P99" s="149">
        <f t="shared" si="29"/>
        <v>0.41101199999999993</v>
      </c>
      <c r="S99" s="16"/>
      <c r="T99" s="16"/>
      <c r="U99" s="16"/>
      <c r="V99" s="16"/>
    </row>
    <row r="100" spans="1:25" x14ac:dyDescent="0.25">
      <c r="A100" s="38" t="s">
        <v>115</v>
      </c>
      <c r="B100" s="38">
        <v>9</v>
      </c>
      <c r="C100" s="38">
        <v>1.22</v>
      </c>
      <c r="D100" s="38">
        <v>0.67</v>
      </c>
      <c r="E100" s="38">
        <v>0.14000000000000001</v>
      </c>
      <c r="F100" s="38">
        <v>25</v>
      </c>
      <c r="G100" s="70"/>
      <c r="H100" s="89">
        <v>500</v>
      </c>
      <c r="I100" s="81">
        <f t="shared" si="7"/>
        <v>20</v>
      </c>
      <c r="J100" s="81">
        <f t="shared" si="32"/>
        <v>180</v>
      </c>
      <c r="K100" s="80">
        <f t="shared" si="33"/>
        <v>2.2887200000000001</v>
      </c>
      <c r="O100" s="152">
        <f t="shared" si="28"/>
        <v>0</v>
      </c>
      <c r="P100" s="149">
        <f t="shared" si="29"/>
        <v>2.2887200000000001</v>
      </c>
      <c r="S100" s="16"/>
      <c r="T100" s="16"/>
      <c r="U100" s="16"/>
      <c r="V100" s="16"/>
    </row>
    <row r="101" spans="1:25" x14ac:dyDescent="0.25">
      <c r="A101" s="38" t="s">
        <v>116</v>
      </c>
      <c r="B101" s="38">
        <v>8</v>
      </c>
      <c r="C101" s="38">
        <v>0.61</v>
      </c>
      <c r="D101" s="38">
        <v>0.61</v>
      </c>
      <c r="E101" s="38">
        <v>0.09</v>
      </c>
      <c r="F101" s="38">
        <v>50</v>
      </c>
      <c r="G101" s="70"/>
      <c r="H101" s="89">
        <v>312</v>
      </c>
      <c r="I101" s="81">
        <f>H101/F101</f>
        <v>6.24</v>
      </c>
      <c r="J101" s="81">
        <f t="shared" si="32"/>
        <v>49.92</v>
      </c>
      <c r="K101" s="80">
        <f t="shared" si="33"/>
        <v>0.20897135999999999</v>
      </c>
      <c r="O101" s="152">
        <f t="shared" si="28"/>
        <v>0</v>
      </c>
      <c r="P101" s="149">
        <f t="shared" si="29"/>
        <v>0.20897135999999999</v>
      </c>
      <c r="S101" s="16"/>
      <c r="T101" s="16"/>
      <c r="U101" s="16"/>
      <c r="V101" s="16"/>
    </row>
    <row r="102" spans="1:25" x14ac:dyDescent="0.25">
      <c r="A102" s="38" t="s">
        <v>117</v>
      </c>
      <c r="B102" s="38">
        <v>5.5</v>
      </c>
      <c r="C102" s="39">
        <v>1</v>
      </c>
      <c r="D102" s="38">
        <v>0.54</v>
      </c>
      <c r="E102" s="38">
        <v>0.12</v>
      </c>
      <c r="F102" s="38">
        <v>25</v>
      </c>
      <c r="G102" s="70"/>
      <c r="H102" s="89">
        <v>300</v>
      </c>
      <c r="I102" s="81">
        <f t="shared" si="7"/>
        <v>12</v>
      </c>
      <c r="J102" s="81">
        <f t="shared" si="32"/>
        <v>66</v>
      </c>
      <c r="K102" s="80">
        <f t="shared" si="33"/>
        <v>0.77760000000000007</v>
      </c>
      <c r="O102" s="152">
        <f t="shared" si="28"/>
        <v>0</v>
      </c>
      <c r="P102" s="149">
        <f t="shared" si="29"/>
        <v>0.77759999999999996</v>
      </c>
      <c r="S102" s="16"/>
      <c r="T102" s="16"/>
      <c r="U102" s="16"/>
      <c r="V102" s="16"/>
    </row>
    <row r="103" spans="1:25" x14ac:dyDescent="0.25">
      <c r="A103" s="38" t="s">
        <v>118</v>
      </c>
      <c r="B103" s="38">
        <v>5</v>
      </c>
      <c r="C103" s="38">
        <v>0.56000000000000005</v>
      </c>
      <c r="D103" s="38">
        <v>0.71</v>
      </c>
      <c r="E103" s="38">
        <v>0.23</v>
      </c>
      <c r="F103" s="38">
        <v>25</v>
      </c>
      <c r="G103" s="2" t="s">
        <v>29</v>
      </c>
      <c r="H103" s="89">
        <v>0</v>
      </c>
      <c r="I103" s="81">
        <f t="shared" si="7"/>
        <v>0</v>
      </c>
      <c r="J103" s="81">
        <f t="shared" si="32"/>
        <v>0</v>
      </c>
      <c r="K103" s="80">
        <f t="shared" si="33"/>
        <v>0</v>
      </c>
      <c r="O103" s="152">
        <f t="shared" si="28"/>
        <v>0</v>
      </c>
      <c r="P103" s="149">
        <f t="shared" si="29"/>
        <v>0</v>
      </c>
      <c r="R103" s="27"/>
      <c r="S103" s="40"/>
      <c r="T103" s="40"/>
      <c r="U103" s="40"/>
      <c r="V103" s="40"/>
      <c r="W103" s="27"/>
      <c r="X103" s="27"/>
      <c r="Y103" s="27"/>
    </row>
    <row r="104" spans="1:25" x14ac:dyDescent="0.25">
      <c r="A104" s="38" t="s">
        <v>119</v>
      </c>
      <c r="B104" s="38">
        <v>4</v>
      </c>
      <c r="C104" s="38">
        <v>0.55000000000000004</v>
      </c>
      <c r="D104" s="38">
        <v>0.6</v>
      </c>
      <c r="E104" s="38">
        <v>0.09</v>
      </c>
      <c r="F104" s="38">
        <v>100</v>
      </c>
      <c r="G104" s="2"/>
      <c r="H104" s="89">
        <v>1825</v>
      </c>
      <c r="I104" s="81">
        <f>H104/F104</f>
        <v>18.25</v>
      </c>
      <c r="J104" s="81">
        <f t="shared" si="32"/>
        <v>73</v>
      </c>
      <c r="K104" s="80">
        <f t="shared" si="33"/>
        <v>0.54202500000000009</v>
      </c>
      <c r="O104" s="152">
        <f t="shared" si="28"/>
        <v>0</v>
      </c>
      <c r="P104" s="149">
        <f t="shared" si="29"/>
        <v>0.54202499999999998</v>
      </c>
      <c r="R104" s="27"/>
      <c r="S104" s="27"/>
      <c r="T104" s="27"/>
      <c r="U104" s="27"/>
      <c r="V104" s="27"/>
      <c r="W104" s="27"/>
      <c r="X104" s="27"/>
      <c r="Y104" s="27"/>
    </row>
    <row r="105" spans="1:25" x14ac:dyDescent="0.25">
      <c r="A105" s="38" t="s">
        <v>120</v>
      </c>
      <c r="B105" s="38">
        <v>4.5</v>
      </c>
      <c r="C105" s="38">
        <v>0.91</v>
      </c>
      <c r="D105" s="38">
        <v>0.5</v>
      </c>
      <c r="E105" s="38">
        <v>7.0000000000000007E-2</v>
      </c>
      <c r="F105" s="38">
        <v>50</v>
      </c>
      <c r="G105" s="70"/>
      <c r="H105" s="89">
        <v>540</v>
      </c>
      <c r="I105" s="81">
        <f t="shared" si="7"/>
        <v>10.8</v>
      </c>
      <c r="J105" s="81">
        <f t="shared" si="32"/>
        <v>48.6</v>
      </c>
      <c r="K105" s="80">
        <f t="shared" si="33"/>
        <v>0.34398000000000006</v>
      </c>
      <c r="O105" s="152">
        <f t="shared" si="28"/>
        <v>0</v>
      </c>
      <c r="P105" s="149">
        <f t="shared" si="29"/>
        <v>0.34398000000000006</v>
      </c>
      <c r="R105" s="27"/>
      <c r="S105" s="27"/>
      <c r="T105" s="41"/>
      <c r="U105" s="27"/>
      <c r="V105" s="27"/>
      <c r="W105" s="27"/>
      <c r="X105" s="27"/>
      <c r="Y105" s="27"/>
    </row>
    <row r="106" spans="1:25" x14ac:dyDescent="0.25">
      <c r="A106" s="38" t="s">
        <v>121</v>
      </c>
      <c r="B106" s="38">
        <v>6</v>
      </c>
      <c r="C106" s="38">
        <v>1.03</v>
      </c>
      <c r="D106" s="38">
        <v>0.56999999999999995</v>
      </c>
      <c r="E106" s="38">
        <v>7.0000000000000007E-2</v>
      </c>
      <c r="F106" s="38">
        <v>25</v>
      </c>
      <c r="G106" s="70"/>
      <c r="H106" s="89">
        <v>25</v>
      </c>
      <c r="I106" s="81">
        <f t="shared" si="7"/>
        <v>1</v>
      </c>
      <c r="J106" s="81">
        <f t="shared" si="32"/>
        <v>6</v>
      </c>
      <c r="K106" s="80">
        <f t="shared" si="33"/>
        <v>4.1097000000000002E-2</v>
      </c>
      <c r="O106" s="152">
        <f t="shared" si="28"/>
        <v>0</v>
      </c>
      <c r="P106" s="149">
        <f t="shared" si="29"/>
        <v>4.1097000000000002E-2</v>
      </c>
      <c r="R106" s="27"/>
      <c r="S106" s="27"/>
      <c r="T106" s="27"/>
      <c r="U106" s="27"/>
      <c r="V106" s="27"/>
      <c r="W106" s="27"/>
      <c r="X106" s="27"/>
      <c r="Y106" s="27"/>
    </row>
    <row r="107" spans="1:25" x14ac:dyDescent="0.25">
      <c r="A107" s="38" t="s">
        <v>122</v>
      </c>
      <c r="B107" s="38">
        <v>7.5</v>
      </c>
      <c r="C107" s="38">
        <v>0.65</v>
      </c>
      <c r="D107" s="38">
        <v>1.0900000000000001</v>
      </c>
      <c r="E107" s="38">
        <v>7.0000000000000007E-2</v>
      </c>
      <c r="F107" s="38">
        <v>25</v>
      </c>
      <c r="G107" s="70"/>
      <c r="H107" s="89">
        <v>1000</v>
      </c>
      <c r="I107" s="81">
        <f>H107/F107</f>
        <v>40</v>
      </c>
      <c r="J107" s="81">
        <f t="shared" si="32"/>
        <v>300</v>
      </c>
      <c r="K107" s="80">
        <f t="shared" si="33"/>
        <v>1.9838000000000005</v>
      </c>
      <c r="O107" s="152">
        <f t="shared" si="28"/>
        <v>0</v>
      </c>
      <c r="P107" s="149">
        <f t="shared" si="29"/>
        <v>1.9838000000000005</v>
      </c>
      <c r="R107" s="27"/>
      <c r="S107" s="27"/>
      <c r="T107" s="27"/>
      <c r="U107" s="27"/>
      <c r="V107" s="27"/>
      <c r="W107" s="27"/>
      <c r="X107" s="27"/>
      <c r="Y107" s="27"/>
    </row>
    <row r="108" spans="1:25" x14ac:dyDescent="0.25">
      <c r="A108" s="38" t="s">
        <v>123</v>
      </c>
      <c r="B108" s="38">
        <v>7</v>
      </c>
      <c r="C108" s="38">
        <v>0.6</v>
      </c>
      <c r="D108" s="38">
        <v>0.6</v>
      </c>
      <c r="E108" s="38">
        <v>0.09</v>
      </c>
      <c r="F108" s="38">
        <v>50</v>
      </c>
      <c r="G108" s="70"/>
      <c r="H108" s="89">
        <v>342</v>
      </c>
      <c r="I108" s="81">
        <f t="shared" si="7"/>
        <v>6.84</v>
      </c>
      <c r="J108" s="81">
        <f t="shared" si="32"/>
        <v>47.879999999999995</v>
      </c>
      <c r="K108" s="80">
        <f t="shared" si="33"/>
        <v>0.22161600000000001</v>
      </c>
      <c r="O108" s="152">
        <f t="shared" si="28"/>
        <v>0</v>
      </c>
      <c r="P108" s="149">
        <f t="shared" si="29"/>
        <v>0.22161599999999998</v>
      </c>
      <c r="R108" s="27"/>
      <c r="S108" s="27"/>
      <c r="T108" s="27"/>
      <c r="U108" s="27"/>
      <c r="V108" s="27"/>
      <c r="W108" s="27"/>
      <c r="X108" s="27"/>
      <c r="Y108" s="27"/>
    </row>
    <row r="109" spans="1:25" x14ac:dyDescent="0.25">
      <c r="A109" s="38" t="s">
        <v>124</v>
      </c>
      <c r="B109" s="38">
        <v>6</v>
      </c>
      <c r="C109" s="38">
        <v>0</v>
      </c>
      <c r="D109" s="38">
        <v>0</v>
      </c>
      <c r="E109" s="38">
        <v>0</v>
      </c>
      <c r="F109" s="38">
        <v>50</v>
      </c>
      <c r="G109" s="70"/>
      <c r="H109" s="89">
        <v>996</v>
      </c>
      <c r="I109" s="81">
        <f t="shared" si="7"/>
        <v>19.920000000000002</v>
      </c>
      <c r="J109" s="81">
        <f t="shared" si="32"/>
        <v>119.52000000000001</v>
      </c>
      <c r="K109" s="80">
        <f t="shared" si="33"/>
        <v>0</v>
      </c>
      <c r="O109" s="152">
        <f t="shared" si="28"/>
        <v>0</v>
      </c>
      <c r="P109" s="149">
        <f t="shared" si="29"/>
        <v>0</v>
      </c>
      <c r="R109" s="27"/>
      <c r="S109" s="27"/>
      <c r="T109" s="27"/>
      <c r="U109" s="27"/>
      <c r="V109" s="27"/>
      <c r="W109" s="27"/>
      <c r="X109" s="27"/>
      <c r="Y109" s="27"/>
    </row>
    <row r="110" spans="1:25" x14ac:dyDescent="0.25">
      <c r="A110" s="38" t="s">
        <v>125</v>
      </c>
      <c r="B110" s="38">
        <v>6.5</v>
      </c>
      <c r="C110" s="38">
        <v>1.04</v>
      </c>
      <c r="D110" s="38">
        <v>0.56999999999999995</v>
      </c>
      <c r="E110" s="38">
        <v>0.08</v>
      </c>
      <c r="F110" s="38">
        <v>50</v>
      </c>
      <c r="G110" s="70"/>
      <c r="H110" s="89">
        <v>10</v>
      </c>
      <c r="I110" s="81">
        <f t="shared" si="7"/>
        <v>0.2</v>
      </c>
      <c r="J110" s="81">
        <f t="shared" si="32"/>
        <v>1.3</v>
      </c>
      <c r="K110" s="80">
        <f t="shared" si="33"/>
        <v>9.4847999999999998E-3</v>
      </c>
      <c r="O110" s="152">
        <f t="shared" si="28"/>
        <v>0</v>
      </c>
      <c r="P110" s="149">
        <f t="shared" si="29"/>
        <v>9.4848000000000016E-3</v>
      </c>
      <c r="R110" s="27"/>
      <c r="S110" s="27"/>
      <c r="T110" s="27"/>
      <c r="U110" s="27"/>
      <c r="V110" s="27"/>
      <c r="W110" s="27"/>
      <c r="X110" s="27"/>
      <c r="Y110" s="27"/>
    </row>
    <row r="111" spans="1:25" x14ac:dyDescent="0.25">
      <c r="A111" s="38" t="s">
        <v>126</v>
      </c>
      <c r="B111" s="38">
        <v>12</v>
      </c>
      <c r="C111" s="38">
        <v>0.83</v>
      </c>
      <c r="D111" s="38">
        <v>0.56000000000000005</v>
      </c>
      <c r="E111" s="38">
        <v>0.15</v>
      </c>
      <c r="F111" s="38">
        <v>25</v>
      </c>
      <c r="G111" s="70"/>
      <c r="H111" s="89">
        <v>10</v>
      </c>
      <c r="I111" s="81">
        <f t="shared" si="7"/>
        <v>0.4</v>
      </c>
      <c r="J111" s="81">
        <f t="shared" si="32"/>
        <v>4.8000000000000007</v>
      </c>
      <c r="K111" s="80">
        <f t="shared" si="33"/>
        <v>2.7888000000000003E-2</v>
      </c>
      <c r="O111" s="152">
        <f t="shared" si="28"/>
        <v>0</v>
      </c>
      <c r="P111" s="149">
        <f t="shared" si="29"/>
        <v>2.7888000000000003E-2</v>
      </c>
      <c r="R111" s="27"/>
      <c r="S111" s="27"/>
      <c r="T111" s="27"/>
      <c r="U111" s="27"/>
      <c r="V111" s="27"/>
      <c r="W111" s="27"/>
      <c r="X111" s="27"/>
      <c r="Y111" s="27"/>
    </row>
    <row r="112" spans="1:25" x14ac:dyDescent="0.25">
      <c r="A112" s="38" t="s">
        <v>127</v>
      </c>
      <c r="B112" s="38">
        <v>10</v>
      </c>
      <c r="C112" s="38">
        <v>1.28</v>
      </c>
      <c r="D112" s="38">
        <v>0.77</v>
      </c>
      <c r="E112" s="38">
        <v>7.0000000000000007E-2</v>
      </c>
      <c r="F112" s="38">
        <v>50</v>
      </c>
      <c r="G112" s="70"/>
      <c r="H112" s="89">
        <v>1120</v>
      </c>
      <c r="I112" s="81">
        <f t="shared" si="7"/>
        <v>22.4</v>
      </c>
      <c r="J112" s="81">
        <f t="shared" si="32"/>
        <v>224</v>
      </c>
      <c r="K112" s="80">
        <f t="shared" si="33"/>
        <v>1.5454208</v>
      </c>
      <c r="O112" s="152">
        <f t="shared" si="28"/>
        <v>0</v>
      </c>
      <c r="P112" s="149">
        <f t="shared" si="29"/>
        <v>1.5454208000000003</v>
      </c>
      <c r="R112" s="27"/>
      <c r="S112" s="27"/>
      <c r="T112" s="27"/>
      <c r="U112" s="27"/>
      <c r="V112" s="27"/>
      <c r="W112" s="27"/>
      <c r="X112" s="27"/>
      <c r="Y112" s="27"/>
    </row>
    <row r="113" spans="1:16" x14ac:dyDescent="0.25">
      <c r="A113" s="274" t="s">
        <v>128</v>
      </c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O113" s="152">
        <f t="shared" si="28"/>
        <v>0</v>
      </c>
      <c r="P113" s="149">
        <f t="shared" si="29"/>
        <v>0</v>
      </c>
    </row>
    <row r="114" spans="1:16" x14ac:dyDescent="0.25">
      <c r="A114" s="65" t="s">
        <v>1</v>
      </c>
      <c r="B114" s="65" t="s">
        <v>2</v>
      </c>
      <c r="C114" s="65" t="s">
        <v>3</v>
      </c>
      <c r="D114" s="65" t="s">
        <v>4</v>
      </c>
      <c r="E114" s="65" t="s">
        <v>84</v>
      </c>
      <c r="F114" s="65" t="s">
        <v>6</v>
      </c>
      <c r="G114" s="70"/>
      <c r="H114" s="88" t="s">
        <v>8</v>
      </c>
      <c r="I114" s="82" t="s">
        <v>9</v>
      </c>
      <c r="J114" s="82" t="s">
        <v>10</v>
      </c>
      <c r="K114" s="49" t="s">
        <v>11</v>
      </c>
      <c r="O114" s="152" t="e">
        <f t="shared" si="28"/>
        <v>#VALUE!</v>
      </c>
      <c r="P114" s="149" t="e">
        <f t="shared" si="29"/>
        <v>#VALUE!</v>
      </c>
    </row>
    <row r="115" spans="1:16" x14ac:dyDescent="0.25">
      <c r="A115" s="65" t="s">
        <v>129</v>
      </c>
      <c r="B115" s="65">
        <v>7</v>
      </c>
      <c r="C115" s="65">
        <v>0.61</v>
      </c>
      <c r="D115" s="65">
        <v>0.49</v>
      </c>
      <c r="E115" s="65">
        <v>0.16</v>
      </c>
      <c r="F115" s="65">
        <v>50</v>
      </c>
      <c r="G115" s="70"/>
      <c r="H115" s="89">
        <v>50</v>
      </c>
      <c r="I115" s="81">
        <f t="shared" si="7"/>
        <v>1</v>
      </c>
      <c r="J115" s="81">
        <f>B115*I115</f>
        <v>7</v>
      </c>
      <c r="K115" s="80">
        <f>I115*C115*D115*E115</f>
        <v>4.7823999999999998E-2</v>
      </c>
      <c r="O115" s="152">
        <f t="shared" si="28"/>
        <v>0</v>
      </c>
      <c r="P115" s="149">
        <f t="shared" si="29"/>
        <v>4.7823999999999998E-2</v>
      </c>
    </row>
    <row r="116" spans="1:16" x14ac:dyDescent="0.25">
      <c r="A116" s="276" t="s">
        <v>130</v>
      </c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O116" s="152">
        <f t="shared" si="28"/>
        <v>0</v>
      </c>
      <c r="P116" s="149">
        <f t="shared" si="29"/>
        <v>0</v>
      </c>
    </row>
    <row r="117" spans="1:16" x14ac:dyDescent="0.25">
      <c r="A117" s="117" t="s">
        <v>1</v>
      </c>
      <c r="B117" s="117" t="s">
        <v>2</v>
      </c>
      <c r="C117" s="117" t="s">
        <v>3</v>
      </c>
      <c r="D117" s="117" t="s">
        <v>4</v>
      </c>
      <c r="E117" s="117" t="s">
        <v>84</v>
      </c>
      <c r="F117" s="117" t="s">
        <v>6</v>
      </c>
      <c r="G117" s="70"/>
      <c r="H117" s="88" t="s">
        <v>8</v>
      </c>
      <c r="I117" s="82" t="s">
        <v>9</v>
      </c>
      <c r="J117" s="82" t="s">
        <v>10</v>
      </c>
      <c r="K117" s="49" t="s">
        <v>11</v>
      </c>
      <c r="O117" s="152" t="e">
        <f t="shared" si="28"/>
        <v>#VALUE!</v>
      </c>
      <c r="P117" s="149" t="e">
        <f t="shared" si="29"/>
        <v>#VALUE!</v>
      </c>
    </row>
    <row r="118" spans="1:16" x14ac:dyDescent="0.25">
      <c r="A118" s="117" t="s">
        <v>131</v>
      </c>
      <c r="B118" s="117">
        <v>4</v>
      </c>
      <c r="C118" s="117">
        <v>0.41</v>
      </c>
      <c r="D118" s="117">
        <v>0.34</v>
      </c>
      <c r="E118" s="117">
        <v>0.17</v>
      </c>
      <c r="F118" s="117">
        <v>50</v>
      </c>
      <c r="G118" s="70"/>
      <c r="H118" s="89">
        <v>2025</v>
      </c>
      <c r="I118" s="81">
        <f t="shared" si="7"/>
        <v>40.5</v>
      </c>
      <c r="J118" s="81">
        <f>B118*I118</f>
        <v>162</v>
      </c>
      <c r="K118" s="80">
        <f>I118*C118*D118*E118</f>
        <v>0.95976900000000021</v>
      </c>
      <c r="O118" s="152">
        <f t="shared" si="28"/>
        <v>0</v>
      </c>
      <c r="P118" s="149">
        <f t="shared" si="29"/>
        <v>0.95976899999999998</v>
      </c>
    </row>
    <row r="119" spans="1:16" x14ac:dyDescent="0.25">
      <c r="A119" s="284" t="s">
        <v>132</v>
      </c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O119" s="152">
        <f t="shared" si="28"/>
        <v>0</v>
      </c>
      <c r="P119" s="149">
        <f t="shared" si="29"/>
        <v>0</v>
      </c>
    </row>
    <row r="120" spans="1:16" x14ac:dyDescent="0.25">
      <c r="A120" s="66" t="s">
        <v>1</v>
      </c>
      <c r="B120" s="66" t="s">
        <v>2</v>
      </c>
      <c r="C120" s="66" t="s">
        <v>3</v>
      </c>
      <c r="D120" s="66" t="s">
        <v>4</v>
      </c>
      <c r="E120" s="66" t="s">
        <v>84</v>
      </c>
      <c r="F120" s="66" t="s">
        <v>6</v>
      </c>
      <c r="G120" s="70"/>
      <c r="H120" s="88" t="s">
        <v>8</v>
      </c>
      <c r="I120" s="82" t="s">
        <v>9</v>
      </c>
      <c r="J120" s="82" t="s">
        <v>10</v>
      </c>
      <c r="K120" s="49" t="s">
        <v>11</v>
      </c>
      <c r="O120" s="152" t="e">
        <f t="shared" si="28"/>
        <v>#VALUE!</v>
      </c>
      <c r="P120" s="149" t="e">
        <f t="shared" si="29"/>
        <v>#VALUE!</v>
      </c>
    </row>
    <row r="121" spans="1:16" x14ac:dyDescent="0.25">
      <c r="A121" s="66" t="s">
        <v>133</v>
      </c>
      <c r="B121" s="66">
        <v>3</v>
      </c>
      <c r="C121" s="66">
        <v>1.18</v>
      </c>
      <c r="D121" s="66">
        <v>0.23</v>
      </c>
      <c r="E121" s="66">
        <v>0.14000000000000001</v>
      </c>
      <c r="F121" s="66">
        <v>10</v>
      </c>
      <c r="G121" s="70"/>
      <c r="H121" s="96">
        <v>345</v>
      </c>
      <c r="I121" s="81">
        <f t="shared" si="7"/>
        <v>34.5</v>
      </c>
      <c r="J121" s="81">
        <f>B121*I121</f>
        <v>103.5</v>
      </c>
      <c r="K121" s="80">
        <f>I121*C121*D121*E121</f>
        <v>1.3108620000000002</v>
      </c>
      <c r="O121" s="152">
        <f t="shared" si="28"/>
        <v>0</v>
      </c>
      <c r="P121" s="149">
        <f t="shared" si="29"/>
        <v>1.310862</v>
      </c>
    </row>
    <row r="122" spans="1:16" x14ac:dyDescent="0.25">
      <c r="A122" s="66" t="s">
        <v>134</v>
      </c>
      <c r="B122" s="66">
        <v>0</v>
      </c>
      <c r="C122" s="66">
        <v>0</v>
      </c>
      <c r="D122" s="66">
        <v>0</v>
      </c>
      <c r="E122" s="66">
        <v>0</v>
      </c>
      <c r="F122" s="66">
        <v>25</v>
      </c>
      <c r="G122" s="2" t="s">
        <v>29</v>
      </c>
      <c r="H122" s="89">
        <v>0</v>
      </c>
      <c r="I122" s="81">
        <f t="shared" si="7"/>
        <v>0</v>
      </c>
      <c r="J122" s="81">
        <f>B122*I122</f>
        <v>0</v>
      </c>
      <c r="K122" s="80">
        <f>I122*C122*D122*E122</f>
        <v>0</v>
      </c>
      <c r="O122" s="152">
        <f t="shared" si="28"/>
        <v>0</v>
      </c>
      <c r="P122" s="149">
        <f t="shared" si="29"/>
        <v>0</v>
      </c>
    </row>
    <row r="123" spans="1:16" x14ac:dyDescent="0.25">
      <c r="A123" s="242" t="s">
        <v>135</v>
      </c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O123" s="152">
        <f t="shared" si="28"/>
        <v>0</v>
      </c>
      <c r="P123" s="149">
        <f t="shared" si="29"/>
        <v>0</v>
      </c>
    </row>
    <row r="124" spans="1:16" x14ac:dyDescent="0.25">
      <c r="A124" s="72" t="s">
        <v>1</v>
      </c>
      <c r="B124" s="72" t="s">
        <v>2</v>
      </c>
      <c r="C124" s="72" t="s">
        <v>3</v>
      </c>
      <c r="D124" s="72" t="s">
        <v>4</v>
      </c>
      <c r="E124" s="72" t="s">
        <v>84</v>
      </c>
      <c r="F124" s="72" t="s">
        <v>6</v>
      </c>
      <c r="G124" s="70"/>
      <c r="H124" s="88" t="s">
        <v>8</v>
      </c>
      <c r="I124" s="82" t="s">
        <v>9</v>
      </c>
      <c r="J124" s="82" t="s">
        <v>10</v>
      </c>
      <c r="K124" s="49" t="s">
        <v>11</v>
      </c>
      <c r="O124" s="152" t="e">
        <f t="shared" si="28"/>
        <v>#VALUE!</v>
      </c>
      <c r="P124" s="149" t="e">
        <f t="shared" si="29"/>
        <v>#VALUE!</v>
      </c>
    </row>
    <row r="125" spans="1:16" x14ac:dyDescent="0.25">
      <c r="A125" s="72" t="s">
        <v>136</v>
      </c>
      <c r="B125" s="72">
        <v>6</v>
      </c>
      <c r="C125" s="72">
        <v>0.21</v>
      </c>
      <c r="D125" s="72">
        <v>0.2</v>
      </c>
      <c r="E125" s="72">
        <v>0.13</v>
      </c>
      <c r="F125" s="72">
        <v>25</v>
      </c>
      <c r="G125" s="70"/>
      <c r="H125" s="89">
        <v>4000</v>
      </c>
      <c r="I125" s="81">
        <f t="shared" si="7"/>
        <v>160</v>
      </c>
      <c r="J125" s="81">
        <f>B125*I125</f>
        <v>960</v>
      </c>
      <c r="K125" s="80">
        <f>I125*C125*D125*E125</f>
        <v>0.87360000000000015</v>
      </c>
      <c r="O125" s="152">
        <f t="shared" si="28"/>
        <v>0</v>
      </c>
      <c r="P125" s="149">
        <f t="shared" si="29"/>
        <v>0.87360000000000004</v>
      </c>
    </row>
    <row r="126" spans="1:16" x14ac:dyDescent="0.25">
      <c r="A126" s="72" t="s">
        <v>137</v>
      </c>
      <c r="B126" s="72">
        <v>6</v>
      </c>
      <c r="C126" s="72">
        <v>0.46</v>
      </c>
      <c r="D126" s="72">
        <v>0.46</v>
      </c>
      <c r="E126" s="72">
        <v>0.16</v>
      </c>
      <c r="F126" s="72">
        <v>25</v>
      </c>
      <c r="G126" s="70"/>
      <c r="H126" s="89">
        <v>925</v>
      </c>
      <c r="I126" s="81">
        <f t="shared" si="7"/>
        <v>37</v>
      </c>
      <c r="J126" s="81">
        <f>B126*I126</f>
        <v>222</v>
      </c>
      <c r="K126" s="80">
        <f>I126*C126*D126*E126</f>
        <v>1.252672</v>
      </c>
      <c r="O126" s="152">
        <f t="shared" si="28"/>
        <v>0</v>
      </c>
      <c r="P126" s="149">
        <f t="shared" si="29"/>
        <v>1.2526720000000002</v>
      </c>
    </row>
    <row r="127" spans="1:16" x14ac:dyDescent="0.25">
      <c r="A127" s="72" t="s">
        <v>138</v>
      </c>
      <c r="B127" s="72">
        <v>8</v>
      </c>
      <c r="C127" s="72">
        <v>0.5</v>
      </c>
      <c r="D127" s="72">
        <v>0.51</v>
      </c>
      <c r="E127" s="72">
        <v>0.16</v>
      </c>
      <c r="F127" s="72">
        <v>20</v>
      </c>
      <c r="G127" s="70"/>
      <c r="H127" s="89">
        <v>0</v>
      </c>
      <c r="I127" s="81">
        <f t="shared" si="7"/>
        <v>0</v>
      </c>
      <c r="J127" s="81">
        <f>B127*I127</f>
        <v>0</v>
      </c>
      <c r="K127" s="80">
        <f>I127*C127*D127*E127</f>
        <v>0</v>
      </c>
      <c r="O127" s="152">
        <f t="shared" si="28"/>
        <v>0</v>
      </c>
      <c r="P127" s="149">
        <f t="shared" si="29"/>
        <v>0</v>
      </c>
    </row>
    <row r="128" spans="1:16" x14ac:dyDescent="0.25">
      <c r="A128" s="72" t="s">
        <v>139</v>
      </c>
      <c r="B128" s="72">
        <v>4</v>
      </c>
      <c r="C128" s="72">
        <v>0.61</v>
      </c>
      <c r="D128" s="72">
        <v>0.52</v>
      </c>
      <c r="E128" s="72">
        <v>0.15</v>
      </c>
      <c r="F128" s="72">
        <v>20</v>
      </c>
      <c r="G128" s="70"/>
      <c r="H128" s="89">
        <v>860</v>
      </c>
      <c r="I128" s="81">
        <f t="shared" si="7"/>
        <v>43</v>
      </c>
      <c r="J128" s="81">
        <f>B128*I128</f>
        <v>172</v>
      </c>
      <c r="K128" s="80">
        <f>I128*C128*D128*E128</f>
        <v>2.0459400000000003</v>
      </c>
      <c r="O128" s="152">
        <f t="shared" si="28"/>
        <v>0</v>
      </c>
      <c r="P128" s="149">
        <f t="shared" si="29"/>
        <v>2.0459399999999999</v>
      </c>
    </row>
    <row r="129" spans="1:16" x14ac:dyDescent="0.25">
      <c r="A129" s="256" t="s">
        <v>140</v>
      </c>
      <c r="B129" s="257"/>
      <c r="C129" s="257"/>
      <c r="D129" s="257"/>
      <c r="E129" s="257"/>
      <c r="F129" s="257"/>
      <c r="G129" s="257"/>
      <c r="H129" s="257"/>
      <c r="I129" s="257"/>
      <c r="J129" s="257"/>
      <c r="K129" s="257"/>
      <c r="O129" s="152">
        <f t="shared" si="28"/>
        <v>0</v>
      </c>
      <c r="P129" s="149">
        <f t="shared" si="29"/>
        <v>0</v>
      </c>
    </row>
    <row r="130" spans="1:16" x14ac:dyDescent="0.25">
      <c r="A130" s="74" t="s">
        <v>1</v>
      </c>
      <c r="B130" s="74" t="s">
        <v>2</v>
      </c>
      <c r="C130" s="74" t="s">
        <v>3</v>
      </c>
      <c r="D130" s="74" t="s">
        <v>4</v>
      </c>
      <c r="E130" s="74" t="s">
        <v>5</v>
      </c>
      <c r="F130" s="74" t="s">
        <v>6</v>
      </c>
      <c r="G130" s="70"/>
      <c r="H130" s="88" t="s">
        <v>8</v>
      </c>
      <c r="I130" s="82" t="s">
        <v>9</v>
      </c>
      <c r="J130" s="82" t="s">
        <v>10</v>
      </c>
      <c r="K130" s="49" t="s">
        <v>11</v>
      </c>
      <c r="O130" s="152" t="e">
        <f t="shared" si="28"/>
        <v>#VALUE!</v>
      </c>
      <c r="P130" s="149" t="e">
        <f t="shared" si="29"/>
        <v>#VALUE!</v>
      </c>
    </row>
    <row r="131" spans="1:16" x14ac:dyDescent="0.25">
      <c r="A131" s="74" t="s">
        <v>141</v>
      </c>
      <c r="B131" s="74">
        <v>5</v>
      </c>
      <c r="C131" s="74">
        <v>0.72</v>
      </c>
      <c r="D131" s="74">
        <v>0.44</v>
      </c>
      <c r="E131" s="74">
        <v>0.15</v>
      </c>
      <c r="F131" s="74">
        <v>50</v>
      </c>
      <c r="G131" s="2" t="s">
        <v>29</v>
      </c>
      <c r="H131" s="89">
        <v>924</v>
      </c>
      <c r="I131" s="81">
        <f t="shared" si="7"/>
        <v>18.48</v>
      </c>
      <c r="J131" s="81">
        <f>B131*I131</f>
        <v>92.4</v>
      </c>
      <c r="K131" s="80">
        <f>I131*C131*D131*E131</f>
        <v>0.87816959999999999</v>
      </c>
      <c r="O131" s="152">
        <f t="shared" si="28"/>
        <v>0</v>
      </c>
      <c r="P131" s="149">
        <f t="shared" si="29"/>
        <v>0.87816959999999988</v>
      </c>
    </row>
    <row r="132" spans="1:16" x14ac:dyDescent="0.25">
      <c r="A132" s="74" t="s">
        <v>142</v>
      </c>
      <c r="B132" s="74">
        <v>3</v>
      </c>
      <c r="C132" s="74">
        <v>0.21</v>
      </c>
      <c r="D132" s="74">
        <v>0.3</v>
      </c>
      <c r="E132" s="74">
        <v>0.12</v>
      </c>
      <c r="F132" s="74">
        <v>100</v>
      </c>
      <c r="G132" s="70"/>
      <c r="H132" s="89">
        <v>1070</v>
      </c>
      <c r="I132" s="81">
        <f t="shared" si="7"/>
        <v>10.7</v>
      </c>
      <c r="J132" s="81">
        <f>B132*I132</f>
        <v>32.099999999999994</v>
      </c>
      <c r="K132" s="80">
        <f>I132*C132*D132*E132</f>
        <v>8.0891999999999992E-2</v>
      </c>
      <c r="O132" s="152">
        <f t="shared" ref="O132:O195" si="34">+L132*B132</f>
        <v>0</v>
      </c>
      <c r="P132" s="149">
        <f t="shared" ref="P132:P195" si="35">+C132*D132*E132*I132</f>
        <v>8.0891999999999992E-2</v>
      </c>
    </row>
    <row r="133" spans="1:16" x14ac:dyDescent="0.25">
      <c r="A133" s="258" t="s">
        <v>143</v>
      </c>
      <c r="B133" s="259"/>
      <c r="C133" s="259"/>
      <c r="D133" s="259"/>
      <c r="E133" s="259"/>
      <c r="F133" s="259"/>
      <c r="G133" s="259"/>
      <c r="H133" s="259"/>
      <c r="I133" s="259"/>
      <c r="J133" s="259"/>
      <c r="K133" s="260"/>
      <c r="O133" s="152">
        <f t="shared" si="34"/>
        <v>0</v>
      </c>
      <c r="P133" s="149">
        <f t="shared" si="35"/>
        <v>0</v>
      </c>
    </row>
    <row r="134" spans="1:16" x14ac:dyDescent="0.25">
      <c r="A134" s="75" t="s">
        <v>1</v>
      </c>
      <c r="B134" s="75" t="s">
        <v>2</v>
      </c>
      <c r="C134" s="75" t="s">
        <v>3</v>
      </c>
      <c r="D134" s="75" t="s">
        <v>4</v>
      </c>
      <c r="E134" s="75" t="s">
        <v>5</v>
      </c>
      <c r="F134" s="75" t="s">
        <v>6</v>
      </c>
      <c r="G134" s="70"/>
      <c r="H134" s="88" t="s">
        <v>8</v>
      </c>
      <c r="I134" s="82" t="s">
        <v>9</v>
      </c>
      <c r="J134" s="82" t="s">
        <v>10</v>
      </c>
      <c r="K134" s="49" t="s">
        <v>11</v>
      </c>
      <c r="O134" s="152" t="e">
        <f t="shared" si="34"/>
        <v>#VALUE!</v>
      </c>
      <c r="P134" s="149" t="e">
        <f t="shared" si="35"/>
        <v>#VALUE!</v>
      </c>
    </row>
    <row r="135" spans="1:16" x14ac:dyDescent="0.25">
      <c r="A135" s="75" t="s">
        <v>144</v>
      </c>
      <c r="B135" s="75">
        <v>5</v>
      </c>
      <c r="C135" s="75">
        <v>0.28999999999999998</v>
      </c>
      <c r="D135" s="75">
        <v>0.28999999999999998</v>
      </c>
      <c r="E135" s="75">
        <v>0.15</v>
      </c>
      <c r="F135" s="75">
        <v>50</v>
      </c>
      <c r="G135" s="69"/>
      <c r="H135" s="89">
        <v>500</v>
      </c>
      <c r="I135" s="81">
        <f t="shared" ref="I135:I168" si="36">H135/F135</f>
        <v>10</v>
      </c>
      <c r="J135" s="81">
        <f>B135*I135</f>
        <v>50</v>
      </c>
      <c r="K135" s="80">
        <f>I135*C135*D135*E135</f>
        <v>0.12614999999999998</v>
      </c>
      <c r="O135" s="152">
        <f t="shared" si="34"/>
        <v>0</v>
      </c>
      <c r="P135" s="149">
        <f t="shared" si="35"/>
        <v>0.12614999999999998</v>
      </c>
    </row>
    <row r="136" spans="1:16" x14ac:dyDescent="0.25">
      <c r="A136" s="75" t="s">
        <v>145</v>
      </c>
      <c r="B136" s="75">
        <v>4</v>
      </c>
      <c r="C136" s="75">
        <v>0.63</v>
      </c>
      <c r="D136" s="75">
        <v>0.36</v>
      </c>
      <c r="E136" s="75">
        <v>0.17</v>
      </c>
      <c r="F136" s="75">
        <v>100</v>
      </c>
      <c r="G136" s="69"/>
      <c r="H136" s="89">
        <v>2000</v>
      </c>
      <c r="I136" s="81">
        <f t="shared" si="36"/>
        <v>20</v>
      </c>
      <c r="J136" s="81">
        <f>B136*I136</f>
        <v>80</v>
      </c>
      <c r="K136" s="80">
        <f>I136*C136*D136*E136</f>
        <v>0.77112000000000003</v>
      </c>
      <c r="O136" s="152">
        <f t="shared" si="34"/>
        <v>0</v>
      </c>
      <c r="P136" s="149">
        <f t="shared" si="35"/>
        <v>0.77112000000000003</v>
      </c>
    </row>
    <row r="137" spans="1:16" x14ac:dyDescent="0.25">
      <c r="A137" s="75" t="s">
        <v>146</v>
      </c>
      <c r="B137" s="75">
        <v>4</v>
      </c>
      <c r="C137" s="75">
        <v>0.49</v>
      </c>
      <c r="D137" s="75">
        <v>0.55000000000000004</v>
      </c>
      <c r="E137" s="75">
        <v>0.16</v>
      </c>
      <c r="F137" s="75">
        <v>50</v>
      </c>
      <c r="G137" s="69" t="s">
        <v>147</v>
      </c>
      <c r="H137" s="89">
        <v>150</v>
      </c>
      <c r="I137" s="81">
        <f t="shared" si="36"/>
        <v>3</v>
      </c>
      <c r="J137" s="81">
        <f>B137*I137</f>
        <v>12</v>
      </c>
      <c r="K137" s="80">
        <f>I137*C137*D137*E137</f>
        <v>0.12936</v>
      </c>
      <c r="O137" s="152">
        <f t="shared" si="34"/>
        <v>0</v>
      </c>
      <c r="P137" s="149">
        <f t="shared" si="35"/>
        <v>0.12936000000000003</v>
      </c>
    </row>
    <row r="138" spans="1:16" x14ac:dyDescent="0.25">
      <c r="A138" s="75" t="s">
        <v>148</v>
      </c>
      <c r="B138" s="75">
        <v>4</v>
      </c>
      <c r="C138" s="75">
        <v>0.47</v>
      </c>
      <c r="D138" s="75">
        <v>0.28999999999999998</v>
      </c>
      <c r="E138" s="75">
        <v>0.18</v>
      </c>
      <c r="F138" s="75">
        <v>100</v>
      </c>
      <c r="G138" s="69" t="s">
        <v>149</v>
      </c>
      <c r="H138" s="89">
        <v>3100</v>
      </c>
      <c r="I138" s="81">
        <f t="shared" si="36"/>
        <v>31</v>
      </c>
      <c r="J138" s="81">
        <f>B138*I138</f>
        <v>124</v>
      </c>
      <c r="K138" s="80">
        <f>I138*C138*D138*E138</f>
        <v>0.76055399999999973</v>
      </c>
      <c r="O138" s="152">
        <f t="shared" si="34"/>
        <v>0</v>
      </c>
      <c r="P138" s="149">
        <f t="shared" si="35"/>
        <v>0.76055399999999984</v>
      </c>
    </row>
    <row r="139" spans="1:16" x14ac:dyDescent="0.25">
      <c r="A139" s="75" t="s">
        <v>150</v>
      </c>
      <c r="B139" s="75">
        <v>4</v>
      </c>
      <c r="C139" s="75">
        <v>0.49</v>
      </c>
      <c r="D139" s="75">
        <v>0.49</v>
      </c>
      <c r="E139" s="75">
        <v>0.18</v>
      </c>
      <c r="F139" s="75">
        <v>50</v>
      </c>
      <c r="G139" s="69"/>
      <c r="H139" s="89">
        <v>500</v>
      </c>
      <c r="I139" s="81">
        <f t="shared" si="36"/>
        <v>10</v>
      </c>
      <c r="J139" s="81">
        <f>B139*I139</f>
        <v>40</v>
      </c>
      <c r="K139" s="80">
        <f>I139*C139*D139*E139</f>
        <v>0.43218000000000001</v>
      </c>
      <c r="O139" s="152">
        <f t="shared" si="34"/>
        <v>0</v>
      </c>
      <c r="P139" s="149">
        <f t="shared" si="35"/>
        <v>0.4321799999999999</v>
      </c>
    </row>
    <row r="140" spans="1:16" x14ac:dyDescent="0.25">
      <c r="A140" s="216" t="s">
        <v>151</v>
      </c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O140" s="152">
        <f t="shared" si="34"/>
        <v>0</v>
      </c>
      <c r="P140" s="149">
        <f t="shared" si="35"/>
        <v>0</v>
      </c>
    </row>
    <row r="141" spans="1:16" x14ac:dyDescent="0.25">
      <c r="A141" s="67" t="s">
        <v>1</v>
      </c>
      <c r="B141" s="67" t="s">
        <v>2</v>
      </c>
      <c r="C141" s="67" t="s">
        <v>3</v>
      </c>
      <c r="D141" s="67" t="s">
        <v>4</v>
      </c>
      <c r="E141" s="67" t="s">
        <v>5</v>
      </c>
      <c r="F141" s="67" t="s">
        <v>6</v>
      </c>
      <c r="G141" s="70"/>
      <c r="H141" s="88" t="s">
        <v>8</v>
      </c>
      <c r="I141" s="82" t="s">
        <v>9</v>
      </c>
      <c r="J141" s="82" t="s">
        <v>10</v>
      </c>
      <c r="K141" s="49" t="s">
        <v>11</v>
      </c>
      <c r="O141" s="152" t="e">
        <f t="shared" si="34"/>
        <v>#VALUE!</v>
      </c>
      <c r="P141" s="149" t="e">
        <f t="shared" si="35"/>
        <v>#VALUE!</v>
      </c>
    </row>
    <row r="142" spans="1:16" x14ac:dyDescent="0.25">
      <c r="A142" s="67" t="s">
        <v>152</v>
      </c>
      <c r="B142" s="67">
        <v>1.5</v>
      </c>
      <c r="C142" s="67">
        <v>0.26</v>
      </c>
      <c r="D142" s="67">
        <v>0.5</v>
      </c>
      <c r="E142" s="67">
        <v>0.14000000000000001</v>
      </c>
      <c r="F142" s="67">
        <v>200</v>
      </c>
      <c r="G142" s="70"/>
      <c r="H142" s="89">
        <v>200</v>
      </c>
      <c r="I142" s="81">
        <f t="shared" si="36"/>
        <v>1</v>
      </c>
      <c r="J142" s="81">
        <f>B142*I142</f>
        <v>1.5</v>
      </c>
      <c r="K142" s="80">
        <f>I142*C142*D142*E142</f>
        <v>1.8200000000000001E-2</v>
      </c>
      <c r="O142" s="152">
        <f t="shared" si="34"/>
        <v>0</v>
      </c>
      <c r="P142" s="149">
        <f t="shared" si="35"/>
        <v>1.8200000000000001E-2</v>
      </c>
    </row>
    <row r="143" spans="1:16" x14ac:dyDescent="0.25">
      <c r="A143" s="67" t="s">
        <v>153</v>
      </c>
      <c r="B143" s="67">
        <v>2</v>
      </c>
      <c r="C143" s="67">
        <v>0.31</v>
      </c>
      <c r="D143" s="67">
        <v>0.6</v>
      </c>
      <c r="E143" s="67">
        <v>0.14000000000000001</v>
      </c>
      <c r="F143" s="67">
        <v>200</v>
      </c>
      <c r="G143" s="70"/>
      <c r="H143" s="89">
        <v>100</v>
      </c>
      <c r="I143" s="81">
        <f t="shared" si="36"/>
        <v>0.5</v>
      </c>
      <c r="J143" s="81">
        <f>B143*I143</f>
        <v>1</v>
      </c>
      <c r="K143" s="80">
        <f>I143*C143*D143*E143</f>
        <v>1.302E-2</v>
      </c>
      <c r="O143" s="152">
        <f t="shared" si="34"/>
        <v>0</v>
      </c>
      <c r="P143" s="149">
        <f t="shared" si="35"/>
        <v>1.302E-2</v>
      </c>
    </row>
    <row r="144" spans="1:16" x14ac:dyDescent="0.25">
      <c r="A144" s="67" t="s">
        <v>154</v>
      </c>
      <c r="B144" s="67">
        <v>3</v>
      </c>
      <c r="C144" s="67">
        <v>0.36</v>
      </c>
      <c r="D144" s="42">
        <v>0.7</v>
      </c>
      <c r="E144" s="67">
        <v>0.16</v>
      </c>
      <c r="F144" s="67">
        <v>200</v>
      </c>
      <c r="G144" s="70"/>
      <c r="H144" s="89">
        <v>1000</v>
      </c>
      <c r="I144" s="81">
        <f t="shared" si="36"/>
        <v>5</v>
      </c>
      <c r="J144" s="81">
        <f>B144*I144</f>
        <v>15</v>
      </c>
      <c r="K144" s="80">
        <f>I144*C144*D144*E144</f>
        <v>0.20159999999999997</v>
      </c>
      <c r="O144" s="152">
        <f t="shared" si="34"/>
        <v>0</v>
      </c>
      <c r="P144" s="149">
        <f t="shared" si="35"/>
        <v>0.2016</v>
      </c>
    </row>
    <row r="145" spans="1:16" x14ac:dyDescent="0.25">
      <c r="A145" s="67" t="s">
        <v>155</v>
      </c>
      <c r="B145" s="67">
        <v>4</v>
      </c>
      <c r="C145" s="67">
        <v>0.41</v>
      </c>
      <c r="D145" s="67">
        <v>0.8</v>
      </c>
      <c r="E145" s="67">
        <v>0.16</v>
      </c>
      <c r="F145" s="67">
        <v>200</v>
      </c>
      <c r="G145" s="70"/>
      <c r="H145" s="89">
        <v>1200</v>
      </c>
      <c r="I145" s="81">
        <f t="shared" si="36"/>
        <v>6</v>
      </c>
      <c r="J145" s="81">
        <f>B145*I145</f>
        <v>24</v>
      </c>
      <c r="K145" s="80">
        <f>I145*C145*D145*E145</f>
        <v>0.31487999999999999</v>
      </c>
      <c r="O145" s="152">
        <f t="shared" si="34"/>
        <v>0</v>
      </c>
      <c r="P145" s="149">
        <f t="shared" si="35"/>
        <v>0.31488000000000005</v>
      </c>
    </row>
    <row r="146" spans="1:16" x14ac:dyDescent="0.25">
      <c r="A146" s="224" t="s">
        <v>156</v>
      </c>
      <c r="B146" s="225"/>
      <c r="C146" s="225"/>
      <c r="D146" s="225"/>
      <c r="E146" s="225"/>
      <c r="F146" s="225"/>
      <c r="G146" s="225"/>
      <c r="H146" s="225"/>
      <c r="I146" s="225"/>
      <c r="J146" s="225"/>
      <c r="K146" s="226"/>
      <c r="O146" s="152">
        <f t="shared" si="34"/>
        <v>0</v>
      </c>
      <c r="P146" s="149">
        <f t="shared" si="35"/>
        <v>0</v>
      </c>
    </row>
    <row r="147" spans="1:16" x14ac:dyDescent="0.25">
      <c r="A147" s="43" t="s">
        <v>1</v>
      </c>
      <c r="B147" s="43" t="s">
        <v>2</v>
      </c>
      <c r="C147" s="43" t="s">
        <v>3</v>
      </c>
      <c r="D147" s="43" t="s">
        <v>4</v>
      </c>
      <c r="E147" s="43" t="s">
        <v>5</v>
      </c>
      <c r="F147" s="43" t="s">
        <v>6</v>
      </c>
      <c r="G147" s="70"/>
      <c r="H147" s="88" t="s">
        <v>8</v>
      </c>
      <c r="I147" s="82" t="s">
        <v>9</v>
      </c>
      <c r="J147" s="82" t="s">
        <v>10</v>
      </c>
      <c r="K147" s="49" t="s">
        <v>11</v>
      </c>
      <c r="O147" s="152" t="e">
        <f t="shared" si="34"/>
        <v>#VALUE!</v>
      </c>
      <c r="P147" s="149" t="e">
        <f t="shared" si="35"/>
        <v>#VALUE!</v>
      </c>
    </row>
    <row r="148" spans="1:16" x14ac:dyDescent="0.25">
      <c r="A148" s="43" t="s">
        <v>157</v>
      </c>
      <c r="B148" s="43">
        <v>8</v>
      </c>
      <c r="C148" s="43">
        <v>0.76</v>
      </c>
      <c r="D148" s="43">
        <v>0.46</v>
      </c>
      <c r="E148" s="43">
        <v>0.17</v>
      </c>
      <c r="F148" s="43">
        <v>100</v>
      </c>
      <c r="G148" s="70"/>
      <c r="H148" s="89">
        <v>3100</v>
      </c>
      <c r="I148" s="81">
        <f t="shared" si="36"/>
        <v>31</v>
      </c>
      <c r="J148" s="81">
        <f t="shared" ref="J148:J153" si="37">B148*I148</f>
        <v>248</v>
      </c>
      <c r="K148" s="80">
        <f t="shared" ref="K148:K153" si="38">I148*C148*D148*E148</f>
        <v>1.8423920000000003</v>
      </c>
      <c r="O148" s="152">
        <f t="shared" si="34"/>
        <v>0</v>
      </c>
      <c r="P148" s="149">
        <f t="shared" si="35"/>
        <v>1.8423920000000003</v>
      </c>
    </row>
    <row r="149" spans="1:16" x14ac:dyDescent="0.25">
      <c r="A149" s="43" t="s">
        <v>158</v>
      </c>
      <c r="B149" s="43">
        <v>3</v>
      </c>
      <c r="C149" s="43">
        <v>0.27</v>
      </c>
      <c r="D149" s="43">
        <v>0.59</v>
      </c>
      <c r="E149" s="43">
        <v>0.15</v>
      </c>
      <c r="F149" s="43">
        <v>100</v>
      </c>
      <c r="G149" s="70"/>
      <c r="H149" s="89">
        <v>1957</v>
      </c>
      <c r="I149" s="81">
        <f t="shared" si="36"/>
        <v>19.57</v>
      </c>
      <c r="J149" s="81">
        <f t="shared" si="37"/>
        <v>58.71</v>
      </c>
      <c r="K149" s="80">
        <f t="shared" si="38"/>
        <v>0.46762514999999993</v>
      </c>
      <c r="O149" s="152">
        <f t="shared" si="34"/>
        <v>0</v>
      </c>
      <c r="P149" s="149">
        <f t="shared" si="35"/>
        <v>0.46762514999999999</v>
      </c>
    </row>
    <row r="150" spans="1:16" x14ac:dyDescent="0.25">
      <c r="A150" s="43" t="s">
        <v>159</v>
      </c>
      <c r="B150" s="43">
        <v>5</v>
      </c>
      <c r="C150" s="43">
        <v>0.78</v>
      </c>
      <c r="D150" s="43">
        <v>0.37</v>
      </c>
      <c r="E150" s="43">
        <v>0.17</v>
      </c>
      <c r="F150" s="43">
        <v>50</v>
      </c>
      <c r="G150" s="70"/>
      <c r="H150" s="89"/>
      <c r="I150" s="81">
        <f t="shared" si="36"/>
        <v>0</v>
      </c>
      <c r="J150" s="81">
        <f t="shared" si="37"/>
        <v>0</v>
      </c>
      <c r="K150" s="80">
        <f t="shared" si="38"/>
        <v>0</v>
      </c>
      <c r="O150" s="152">
        <f t="shared" si="34"/>
        <v>0</v>
      </c>
      <c r="P150" s="149">
        <f t="shared" si="35"/>
        <v>0</v>
      </c>
    </row>
    <row r="151" spans="1:16" x14ac:dyDescent="0.25">
      <c r="A151" s="43" t="s">
        <v>160</v>
      </c>
      <c r="B151" s="43">
        <v>5</v>
      </c>
      <c r="C151" s="43">
        <v>0.97</v>
      </c>
      <c r="D151" s="43">
        <v>0.38</v>
      </c>
      <c r="E151" s="43">
        <v>0.13</v>
      </c>
      <c r="F151" s="43">
        <v>50</v>
      </c>
      <c r="G151" s="70"/>
      <c r="H151" s="89">
        <v>1000</v>
      </c>
      <c r="I151" s="81">
        <f t="shared" si="36"/>
        <v>20</v>
      </c>
      <c r="J151" s="81">
        <f t="shared" si="37"/>
        <v>100</v>
      </c>
      <c r="K151" s="80">
        <f t="shared" si="38"/>
        <v>0.95835999999999999</v>
      </c>
      <c r="O151" s="152">
        <f t="shared" si="34"/>
        <v>0</v>
      </c>
      <c r="P151" s="149">
        <f t="shared" si="35"/>
        <v>0.9583600000000001</v>
      </c>
    </row>
    <row r="152" spans="1:16" x14ac:dyDescent="0.25">
      <c r="A152" s="43" t="s">
        <v>161</v>
      </c>
      <c r="B152" s="43">
        <v>4</v>
      </c>
      <c r="C152" s="43">
        <v>0.64</v>
      </c>
      <c r="D152" s="43">
        <v>0.34</v>
      </c>
      <c r="E152" s="43">
        <v>0.17</v>
      </c>
      <c r="F152" s="43">
        <v>50</v>
      </c>
      <c r="G152" s="70"/>
      <c r="H152" s="89">
        <v>3000</v>
      </c>
      <c r="I152" s="81">
        <f t="shared" ref="I152" si="39">H152/F152</f>
        <v>60</v>
      </c>
      <c r="J152" s="81">
        <f t="shared" si="37"/>
        <v>240</v>
      </c>
      <c r="K152" s="80">
        <f t="shared" si="38"/>
        <v>2.2195200000000002</v>
      </c>
      <c r="O152" s="152">
        <f t="shared" si="34"/>
        <v>0</v>
      </c>
      <c r="P152" s="149">
        <f t="shared" si="35"/>
        <v>2.2195200000000002</v>
      </c>
    </row>
    <row r="153" spans="1:16" x14ac:dyDescent="0.25">
      <c r="A153" s="43" t="s">
        <v>162</v>
      </c>
      <c r="B153" s="43">
        <v>10</v>
      </c>
      <c r="C153" s="43">
        <v>0.41</v>
      </c>
      <c r="D153" s="43">
        <v>0.9</v>
      </c>
      <c r="E153" s="43">
        <v>0.16</v>
      </c>
      <c r="F153" s="43">
        <v>100</v>
      </c>
      <c r="G153" s="70"/>
      <c r="H153" s="89">
        <v>1000</v>
      </c>
      <c r="I153" s="81">
        <f>H153/F153</f>
        <v>10</v>
      </c>
      <c r="J153" s="81">
        <f t="shared" si="37"/>
        <v>100</v>
      </c>
      <c r="K153" s="80">
        <f t="shared" si="38"/>
        <v>0.59040000000000004</v>
      </c>
      <c r="O153" s="152">
        <f t="shared" si="34"/>
        <v>0</v>
      </c>
      <c r="P153" s="149">
        <f t="shared" si="35"/>
        <v>0.59040000000000004</v>
      </c>
    </row>
    <row r="154" spans="1:16" x14ac:dyDescent="0.25">
      <c r="A154" s="227"/>
      <c r="B154" s="228"/>
      <c r="C154" s="228"/>
      <c r="D154" s="228"/>
      <c r="E154" s="228"/>
      <c r="F154" s="228"/>
      <c r="G154" s="228"/>
      <c r="H154" s="228"/>
      <c r="I154" s="228"/>
      <c r="J154" s="228"/>
      <c r="K154" s="229"/>
      <c r="O154" s="152">
        <f t="shared" si="34"/>
        <v>0</v>
      </c>
      <c r="P154" s="149">
        <f t="shared" si="35"/>
        <v>0</v>
      </c>
    </row>
    <row r="155" spans="1:16" x14ac:dyDescent="0.25">
      <c r="A155" s="76" t="s">
        <v>1</v>
      </c>
      <c r="B155" s="76" t="s">
        <v>2</v>
      </c>
      <c r="C155" s="76" t="s">
        <v>3</v>
      </c>
      <c r="D155" s="76" t="s">
        <v>4</v>
      </c>
      <c r="E155" s="76" t="s">
        <v>5</v>
      </c>
      <c r="F155" s="76" t="s">
        <v>6</v>
      </c>
      <c r="G155" s="2"/>
      <c r="H155" s="88" t="s">
        <v>8</v>
      </c>
      <c r="I155" s="82" t="s">
        <v>9</v>
      </c>
      <c r="J155" s="82" t="s">
        <v>10</v>
      </c>
      <c r="K155" s="49" t="s">
        <v>11</v>
      </c>
      <c r="O155" s="152" t="e">
        <f t="shared" si="34"/>
        <v>#VALUE!</v>
      </c>
      <c r="P155" s="149" t="e">
        <f t="shared" si="35"/>
        <v>#VALUE!</v>
      </c>
    </row>
    <row r="156" spans="1:16" x14ac:dyDescent="0.25">
      <c r="A156" s="76" t="s">
        <v>163</v>
      </c>
      <c r="B156" s="76">
        <v>4</v>
      </c>
      <c r="C156" s="76">
        <v>0.76</v>
      </c>
      <c r="D156" s="76">
        <v>0.28000000000000003</v>
      </c>
      <c r="E156" s="76">
        <v>0.15</v>
      </c>
      <c r="F156" s="76">
        <v>20</v>
      </c>
      <c r="G156" s="2" t="s">
        <v>29</v>
      </c>
      <c r="H156" s="89">
        <v>2050</v>
      </c>
      <c r="I156" s="81">
        <v>110</v>
      </c>
      <c r="J156" s="81">
        <f t="shared" ref="J156:J162" si="40">B156*I156</f>
        <v>440</v>
      </c>
      <c r="K156" s="80">
        <f t="shared" ref="K156:K162" si="41">I156*C156*D156*E156</f>
        <v>3.5112000000000001</v>
      </c>
      <c r="O156" s="152">
        <f t="shared" si="34"/>
        <v>0</v>
      </c>
      <c r="P156" s="149">
        <f t="shared" si="35"/>
        <v>3.5112000000000005</v>
      </c>
    </row>
    <row r="157" spans="1:16" x14ac:dyDescent="0.25">
      <c r="A157" s="76" t="s">
        <v>164</v>
      </c>
      <c r="B157" s="76">
        <v>4.5</v>
      </c>
      <c r="C157" s="76">
        <v>0.83</v>
      </c>
      <c r="D157" s="76">
        <v>0.28000000000000003</v>
      </c>
      <c r="E157" s="76">
        <v>0.15</v>
      </c>
      <c r="F157" s="76">
        <v>100</v>
      </c>
      <c r="G157" s="2" t="s">
        <v>29</v>
      </c>
      <c r="H157" s="89">
        <v>1045</v>
      </c>
      <c r="I157" s="81">
        <f t="shared" si="36"/>
        <v>10.45</v>
      </c>
      <c r="J157" s="81">
        <f t="shared" si="40"/>
        <v>47.024999999999999</v>
      </c>
      <c r="K157" s="80">
        <f t="shared" si="41"/>
        <v>0.36428699999999997</v>
      </c>
      <c r="O157" s="152">
        <f t="shared" si="34"/>
        <v>0</v>
      </c>
      <c r="P157" s="149">
        <f t="shared" si="35"/>
        <v>0.36428699999999997</v>
      </c>
    </row>
    <row r="158" spans="1:16" x14ac:dyDescent="0.25">
      <c r="A158" s="76" t="s">
        <v>74</v>
      </c>
      <c r="B158" s="76">
        <v>10</v>
      </c>
      <c r="C158" s="76">
        <v>0.69</v>
      </c>
      <c r="D158" s="76">
        <v>0.4</v>
      </c>
      <c r="E158" s="76">
        <v>0.17</v>
      </c>
      <c r="F158" s="76">
        <v>50</v>
      </c>
      <c r="G158" s="2" t="s">
        <v>29</v>
      </c>
      <c r="H158" s="89">
        <v>1000</v>
      </c>
      <c r="I158" s="81">
        <f t="shared" si="36"/>
        <v>20</v>
      </c>
      <c r="J158" s="81">
        <f t="shared" si="40"/>
        <v>200</v>
      </c>
      <c r="K158" s="80">
        <f t="shared" si="41"/>
        <v>0.93840000000000001</v>
      </c>
      <c r="O158" s="152">
        <f t="shared" si="34"/>
        <v>0</v>
      </c>
      <c r="P158" s="149">
        <f t="shared" si="35"/>
        <v>0.9383999999999999</v>
      </c>
    </row>
    <row r="159" spans="1:16" x14ac:dyDescent="0.25">
      <c r="A159" s="76" t="s">
        <v>79</v>
      </c>
      <c r="B159" s="76">
        <v>9</v>
      </c>
      <c r="C159" s="76">
        <v>0.77</v>
      </c>
      <c r="D159" s="76">
        <v>0.59</v>
      </c>
      <c r="E159" s="76">
        <v>0.1</v>
      </c>
      <c r="F159" s="76">
        <v>50</v>
      </c>
      <c r="G159" s="2" t="s">
        <v>29</v>
      </c>
      <c r="H159" s="89">
        <v>1140</v>
      </c>
      <c r="I159" s="81">
        <f t="shared" si="36"/>
        <v>22.8</v>
      </c>
      <c r="J159" s="81">
        <f t="shared" si="40"/>
        <v>205.20000000000002</v>
      </c>
      <c r="K159" s="80">
        <f t="shared" si="41"/>
        <v>1.0358040000000002</v>
      </c>
      <c r="O159" s="152">
        <f t="shared" si="34"/>
        <v>0</v>
      </c>
      <c r="P159" s="149">
        <f t="shared" si="35"/>
        <v>1.0358039999999999</v>
      </c>
    </row>
    <row r="160" spans="1:16" x14ac:dyDescent="0.25">
      <c r="A160" s="76" t="s">
        <v>165</v>
      </c>
      <c r="B160" s="76">
        <v>10</v>
      </c>
      <c r="C160" s="76">
        <v>0.55000000000000004</v>
      </c>
      <c r="D160" s="76">
        <v>1.06</v>
      </c>
      <c r="E160" s="76">
        <v>0.08</v>
      </c>
      <c r="F160" s="76">
        <v>50</v>
      </c>
      <c r="G160" s="2"/>
      <c r="H160" s="89">
        <v>100</v>
      </c>
      <c r="I160" s="81">
        <f t="shared" si="36"/>
        <v>2</v>
      </c>
      <c r="J160" s="81">
        <f t="shared" si="40"/>
        <v>20</v>
      </c>
      <c r="K160" s="80">
        <f t="shared" si="41"/>
        <v>9.3280000000000016E-2</v>
      </c>
      <c r="O160" s="152">
        <f t="shared" si="34"/>
        <v>0</v>
      </c>
      <c r="P160" s="149">
        <f t="shared" si="35"/>
        <v>9.3280000000000016E-2</v>
      </c>
    </row>
    <row r="161" spans="1:16" x14ac:dyDescent="0.25">
      <c r="A161" s="76" t="s">
        <v>166</v>
      </c>
      <c r="B161" s="76">
        <v>8</v>
      </c>
      <c r="C161" s="76">
        <v>0.57999999999999996</v>
      </c>
      <c r="D161" s="76">
        <v>0.77</v>
      </c>
      <c r="E161" s="76">
        <v>0.2</v>
      </c>
      <c r="F161" s="76">
        <v>50</v>
      </c>
      <c r="G161" s="2"/>
      <c r="H161" s="89">
        <v>1500</v>
      </c>
      <c r="I161" s="81">
        <f t="shared" si="36"/>
        <v>30</v>
      </c>
      <c r="J161" s="81">
        <f t="shared" si="40"/>
        <v>240</v>
      </c>
      <c r="K161" s="80">
        <f t="shared" si="41"/>
        <v>2.6796000000000002</v>
      </c>
      <c r="O161" s="152">
        <f t="shared" si="34"/>
        <v>0</v>
      </c>
      <c r="P161" s="149">
        <f t="shared" si="35"/>
        <v>2.6796000000000002</v>
      </c>
    </row>
    <row r="162" spans="1:16" x14ac:dyDescent="0.25">
      <c r="A162" s="76" t="s">
        <v>167</v>
      </c>
      <c r="B162" s="76">
        <v>8</v>
      </c>
      <c r="C162" s="76">
        <v>0.48</v>
      </c>
      <c r="D162" s="76">
        <v>0.38</v>
      </c>
      <c r="E162" s="76">
        <v>0.17</v>
      </c>
      <c r="F162" s="76">
        <v>100</v>
      </c>
      <c r="G162" s="2"/>
      <c r="H162" s="89">
        <v>2100</v>
      </c>
      <c r="I162" s="81">
        <f t="shared" si="36"/>
        <v>21</v>
      </c>
      <c r="J162" s="81">
        <f t="shared" si="40"/>
        <v>168</v>
      </c>
      <c r="K162" s="80">
        <f t="shared" si="41"/>
        <v>0.65116800000000008</v>
      </c>
      <c r="O162" s="152">
        <f t="shared" si="34"/>
        <v>0</v>
      </c>
      <c r="P162" s="149">
        <f t="shared" si="35"/>
        <v>0.65116800000000008</v>
      </c>
    </row>
    <row r="163" spans="1:16" x14ac:dyDescent="0.25">
      <c r="A163" s="230" t="s">
        <v>168</v>
      </c>
      <c r="B163" s="231"/>
      <c r="C163" s="231"/>
      <c r="D163" s="231"/>
      <c r="E163" s="231"/>
      <c r="F163" s="231"/>
      <c r="G163" s="231"/>
      <c r="H163" s="231"/>
      <c r="I163" s="231"/>
      <c r="J163" s="231"/>
      <c r="K163" s="232"/>
      <c r="O163" s="152">
        <f t="shared" si="34"/>
        <v>0</v>
      </c>
      <c r="P163" s="149">
        <f t="shared" si="35"/>
        <v>0</v>
      </c>
    </row>
    <row r="164" spans="1:16" x14ac:dyDescent="0.25">
      <c r="A164" s="44" t="s">
        <v>1</v>
      </c>
      <c r="B164" s="44" t="s">
        <v>2</v>
      </c>
      <c r="C164" s="44" t="s">
        <v>3</v>
      </c>
      <c r="D164" s="44" t="s">
        <v>4</v>
      </c>
      <c r="E164" s="44" t="s">
        <v>5</v>
      </c>
      <c r="F164" s="44" t="s">
        <v>6</v>
      </c>
      <c r="G164" s="70"/>
      <c r="H164" s="88" t="s">
        <v>8</v>
      </c>
      <c r="I164" s="82" t="s">
        <v>9</v>
      </c>
      <c r="J164" s="82" t="s">
        <v>10</v>
      </c>
      <c r="K164" s="49" t="s">
        <v>11</v>
      </c>
      <c r="O164" s="152" t="e">
        <f t="shared" si="34"/>
        <v>#VALUE!</v>
      </c>
      <c r="P164" s="149" t="e">
        <f t="shared" si="35"/>
        <v>#VALUE!</v>
      </c>
    </row>
    <row r="165" spans="1:16" x14ac:dyDescent="0.25">
      <c r="A165" s="44" t="s">
        <v>169</v>
      </c>
      <c r="B165" s="44">
        <v>8</v>
      </c>
      <c r="C165" s="45">
        <v>0.9</v>
      </c>
      <c r="D165" s="44">
        <v>0.47</v>
      </c>
      <c r="E165" s="44">
        <v>0.16</v>
      </c>
      <c r="F165" s="44">
        <v>200</v>
      </c>
      <c r="G165" s="70"/>
      <c r="H165" s="89">
        <v>1000</v>
      </c>
      <c r="I165" s="81">
        <f t="shared" si="36"/>
        <v>5</v>
      </c>
      <c r="J165" s="81">
        <f>B165*I165</f>
        <v>40</v>
      </c>
      <c r="K165" s="80">
        <f>I165*C165*D165*E165</f>
        <v>0.33839999999999998</v>
      </c>
      <c r="O165" s="152">
        <f t="shared" si="34"/>
        <v>0</v>
      </c>
      <c r="P165" s="149">
        <f t="shared" si="35"/>
        <v>0.33840000000000003</v>
      </c>
    </row>
    <row r="166" spans="1:16" x14ac:dyDescent="0.25">
      <c r="A166" s="44" t="s">
        <v>170</v>
      </c>
      <c r="B166" s="44">
        <v>2</v>
      </c>
      <c r="C166" s="45">
        <v>0.37</v>
      </c>
      <c r="D166" s="44">
        <v>0.12</v>
      </c>
      <c r="E166" s="44">
        <v>0.05</v>
      </c>
      <c r="F166" s="44">
        <v>1000</v>
      </c>
      <c r="G166" s="70"/>
      <c r="H166" s="89">
        <v>0</v>
      </c>
      <c r="I166" s="81">
        <f t="shared" si="36"/>
        <v>0</v>
      </c>
      <c r="J166" s="81">
        <f t="shared" ref="J166:J168" si="42">B166*I166</f>
        <v>0</v>
      </c>
      <c r="K166" s="80">
        <f>I166*C166*D166*E166</f>
        <v>0</v>
      </c>
      <c r="O166" s="152">
        <f t="shared" si="34"/>
        <v>0</v>
      </c>
      <c r="P166" s="149">
        <f t="shared" si="35"/>
        <v>0</v>
      </c>
    </row>
    <row r="167" spans="1:16" x14ac:dyDescent="0.25">
      <c r="A167" s="44" t="s">
        <v>171</v>
      </c>
      <c r="B167" s="44">
        <v>8.5</v>
      </c>
      <c r="C167" s="44">
        <v>0.83</v>
      </c>
      <c r="D167" s="44">
        <v>0.37</v>
      </c>
      <c r="E167" s="44">
        <v>0.16</v>
      </c>
      <c r="F167" s="44">
        <v>1000</v>
      </c>
      <c r="G167" s="2" t="s">
        <v>29</v>
      </c>
      <c r="H167" s="89">
        <v>0</v>
      </c>
      <c r="I167" s="81">
        <f t="shared" si="36"/>
        <v>0</v>
      </c>
      <c r="J167" s="81">
        <f t="shared" si="42"/>
        <v>0</v>
      </c>
      <c r="K167" s="80">
        <f>I167*C167*D167*E167</f>
        <v>0</v>
      </c>
      <c r="O167" s="152">
        <f t="shared" si="34"/>
        <v>0</v>
      </c>
      <c r="P167" s="149">
        <f t="shared" si="35"/>
        <v>0</v>
      </c>
    </row>
    <row r="168" spans="1:16" x14ac:dyDescent="0.25">
      <c r="A168" s="44" t="s">
        <v>172</v>
      </c>
      <c r="B168" s="44">
        <v>6</v>
      </c>
      <c r="C168" s="45">
        <v>0.6</v>
      </c>
      <c r="D168" s="44">
        <v>0.24</v>
      </c>
      <c r="E168" s="44">
        <v>0.17</v>
      </c>
      <c r="F168" s="44">
        <v>50</v>
      </c>
      <c r="G168" s="70"/>
      <c r="H168" s="89">
        <v>924</v>
      </c>
      <c r="I168" s="81">
        <f t="shared" si="36"/>
        <v>18.48</v>
      </c>
      <c r="J168" s="81">
        <f t="shared" si="42"/>
        <v>110.88</v>
      </c>
      <c r="K168" s="80">
        <f>I168*C168*D168*E168</f>
        <v>0.45239039999999997</v>
      </c>
      <c r="O168" s="152">
        <f t="shared" si="34"/>
        <v>0</v>
      </c>
      <c r="P168" s="149">
        <f t="shared" si="35"/>
        <v>0.45239039999999997</v>
      </c>
    </row>
    <row r="169" spans="1:16" x14ac:dyDescent="0.25">
      <c r="A169" s="233" t="s">
        <v>173</v>
      </c>
      <c r="B169" s="234"/>
      <c r="C169" s="234"/>
      <c r="D169" s="234"/>
      <c r="E169" s="234"/>
      <c r="F169" s="234"/>
      <c r="G169" s="234"/>
      <c r="H169" s="234"/>
      <c r="I169" s="234"/>
      <c r="J169" s="234"/>
      <c r="K169" s="235"/>
      <c r="O169" s="152">
        <f t="shared" si="34"/>
        <v>0</v>
      </c>
      <c r="P169" s="149">
        <f t="shared" si="35"/>
        <v>0</v>
      </c>
    </row>
    <row r="170" spans="1:16" x14ac:dyDescent="0.25">
      <c r="A170" s="46" t="s">
        <v>1</v>
      </c>
      <c r="B170" s="46" t="s">
        <v>2</v>
      </c>
      <c r="C170" s="46" t="s">
        <v>3</v>
      </c>
      <c r="D170" s="46" t="s">
        <v>4</v>
      </c>
      <c r="E170" s="46" t="s">
        <v>5</v>
      </c>
      <c r="F170" s="46" t="s">
        <v>6</v>
      </c>
      <c r="G170" s="70"/>
      <c r="H170" s="88" t="s">
        <v>8</v>
      </c>
      <c r="I170" s="82" t="s">
        <v>9</v>
      </c>
      <c r="J170" s="82" t="s">
        <v>10</v>
      </c>
      <c r="K170" s="49" t="s">
        <v>11</v>
      </c>
      <c r="O170" s="152" t="e">
        <f t="shared" si="34"/>
        <v>#VALUE!</v>
      </c>
      <c r="P170" s="149" t="e">
        <f t="shared" si="35"/>
        <v>#VALUE!</v>
      </c>
    </row>
    <row r="171" spans="1:16" x14ac:dyDescent="0.25">
      <c r="A171" s="46" t="s">
        <v>174</v>
      </c>
      <c r="B171" s="46">
        <v>4</v>
      </c>
      <c r="C171" s="46">
        <v>0.55000000000000004</v>
      </c>
      <c r="D171" s="46">
        <v>0.3</v>
      </c>
      <c r="E171" s="46">
        <v>0.15</v>
      </c>
      <c r="F171" s="46">
        <v>50</v>
      </c>
      <c r="G171" s="70"/>
      <c r="H171" s="96">
        <v>907</v>
      </c>
      <c r="I171" s="81">
        <f t="shared" ref="I171:I189" si="43">H171/F171</f>
        <v>18.14</v>
      </c>
      <c r="J171" s="81">
        <f>B171*I171</f>
        <v>72.56</v>
      </c>
      <c r="K171" s="80">
        <f>I171*C171*D171*E171</f>
        <v>0.448965</v>
      </c>
      <c r="O171" s="152">
        <f t="shared" si="34"/>
        <v>0</v>
      </c>
      <c r="P171" s="149">
        <f t="shared" si="35"/>
        <v>0.44896500000000006</v>
      </c>
    </row>
    <row r="172" spans="1:16" x14ac:dyDescent="0.25">
      <c r="A172" s="46" t="s">
        <v>175</v>
      </c>
      <c r="B172" s="46">
        <v>4.5</v>
      </c>
      <c r="C172" s="46">
        <v>0.47</v>
      </c>
      <c r="D172" s="46">
        <v>0.3</v>
      </c>
      <c r="E172" s="46">
        <v>0.18</v>
      </c>
      <c r="F172" s="46">
        <v>100</v>
      </c>
      <c r="G172" s="70"/>
      <c r="H172" s="89">
        <v>3000</v>
      </c>
      <c r="I172" s="81">
        <f t="shared" si="43"/>
        <v>30</v>
      </c>
      <c r="J172" s="81">
        <f>B172*I172</f>
        <v>135</v>
      </c>
      <c r="K172" s="80">
        <f>I172*C172*D172*E172</f>
        <v>0.76139999999999985</v>
      </c>
      <c r="O172" s="152">
        <f t="shared" si="34"/>
        <v>0</v>
      </c>
      <c r="P172" s="149">
        <f t="shared" si="35"/>
        <v>0.76139999999999985</v>
      </c>
    </row>
    <row r="173" spans="1:16" x14ac:dyDescent="0.25">
      <c r="A173" s="236" t="s">
        <v>176</v>
      </c>
      <c r="B173" s="237"/>
      <c r="C173" s="237"/>
      <c r="D173" s="237"/>
      <c r="E173" s="237"/>
      <c r="F173" s="237"/>
      <c r="G173" s="237"/>
      <c r="H173" s="237"/>
      <c r="I173" s="237"/>
      <c r="J173" s="237"/>
      <c r="K173" s="238"/>
      <c r="O173" s="152">
        <f t="shared" si="34"/>
        <v>0</v>
      </c>
      <c r="P173" s="149">
        <f t="shared" si="35"/>
        <v>0</v>
      </c>
    </row>
    <row r="174" spans="1:16" x14ac:dyDescent="0.25">
      <c r="A174" s="47" t="s">
        <v>1</v>
      </c>
      <c r="B174" s="47" t="s">
        <v>2</v>
      </c>
      <c r="C174" s="47" t="s">
        <v>3</v>
      </c>
      <c r="D174" s="47" t="s">
        <v>4</v>
      </c>
      <c r="E174" s="47" t="s">
        <v>5</v>
      </c>
      <c r="F174" s="47" t="s">
        <v>6</v>
      </c>
      <c r="G174" s="70"/>
      <c r="H174" s="88" t="s">
        <v>8</v>
      </c>
      <c r="I174" s="82" t="s">
        <v>9</v>
      </c>
      <c r="J174" s="82" t="s">
        <v>10</v>
      </c>
      <c r="K174" s="49" t="s">
        <v>11</v>
      </c>
      <c r="O174" s="152" t="e">
        <f t="shared" si="34"/>
        <v>#VALUE!</v>
      </c>
      <c r="P174" s="149" t="e">
        <f t="shared" si="35"/>
        <v>#VALUE!</v>
      </c>
    </row>
    <row r="175" spans="1:16" x14ac:dyDescent="0.25">
      <c r="A175" s="48" t="s">
        <v>177</v>
      </c>
      <c r="B175" s="48">
        <v>5</v>
      </c>
      <c r="C175" s="48">
        <v>0.19</v>
      </c>
      <c r="D175" s="48">
        <v>0.15</v>
      </c>
      <c r="E175" s="48">
        <v>0.11</v>
      </c>
      <c r="F175" s="48">
        <v>50</v>
      </c>
      <c r="G175" s="70"/>
      <c r="H175" s="89">
        <v>1073</v>
      </c>
      <c r="I175" s="81">
        <f t="shared" si="43"/>
        <v>21.46</v>
      </c>
      <c r="J175" s="81">
        <f>B175*I175</f>
        <v>107.30000000000001</v>
      </c>
      <c r="K175" s="80">
        <f>I175*C175*D175*E175</f>
        <v>6.7277099999999992E-2</v>
      </c>
      <c r="O175" s="152">
        <f t="shared" si="34"/>
        <v>0</v>
      </c>
      <c r="P175" s="149">
        <f t="shared" si="35"/>
        <v>6.7277099999999992E-2</v>
      </c>
    </row>
    <row r="176" spans="1:16" x14ac:dyDescent="0.25">
      <c r="A176" s="239" t="s">
        <v>178</v>
      </c>
      <c r="B176" s="240"/>
      <c r="C176" s="240"/>
      <c r="D176" s="240"/>
      <c r="E176" s="240"/>
      <c r="F176" s="240"/>
      <c r="G176" s="240"/>
      <c r="H176" s="240"/>
      <c r="I176" s="240"/>
      <c r="J176" s="240"/>
      <c r="K176" s="241"/>
      <c r="O176" s="152">
        <f t="shared" si="34"/>
        <v>0</v>
      </c>
      <c r="P176" s="149">
        <f t="shared" si="35"/>
        <v>0</v>
      </c>
    </row>
    <row r="177" spans="1:16" x14ac:dyDescent="0.25">
      <c r="A177" s="121" t="s">
        <v>1</v>
      </c>
      <c r="B177" s="121" t="s">
        <v>2</v>
      </c>
      <c r="C177" s="121" t="s">
        <v>3</v>
      </c>
      <c r="D177" s="121" t="s">
        <v>4</v>
      </c>
      <c r="E177" s="121" t="s">
        <v>5</v>
      </c>
      <c r="F177" s="121" t="s">
        <v>6</v>
      </c>
      <c r="G177" s="70"/>
      <c r="H177" s="88" t="s">
        <v>8</v>
      </c>
      <c r="I177" s="82" t="s">
        <v>9</v>
      </c>
      <c r="J177" s="82" t="s">
        <v>10</v>
      </c>
      <c r="K177" s="49" t="s">
        <v>11</v>
      </c>
      <c r="O177" s="152" t="e">
        <f t="shared" si="34"/>
        <v>#VALUE!</v>
      </c>
      <c r="P177" s="149" t="e">
        <f t="shared" si="35"/>
        <v>#VALUE!</v>
      </c>
    </row>
    <row r="178" spans="1:16" x14ac:dyDescent="0.25">
      <c r="A178" s="121" t="s">
        <v>179</v>
      </c>
      <c r="B178" s="121">
        <v>5</v>
      </c>
      <c r="C178" s="122">
        <v>0.5</v>
      </c>
      <c r="D178" s="121">
        <v>0.49</v>
      </c>
      <c r="E178" s="121">
        <v>0.15</v>
      </c>
      <c r="F178" s="121">
        <v>100</v>
      </c>
      <c r="H178" s="89">
        <v>29400</v>
      </c>
      <c r="I178" s="81">
        <f t="shared" ref="I178" si="44">H178/F178</f>
        <v>294</v>
      </c>
      <c r="J178" s="81">
        <f>B178*I178</f>
        <v>1470</v>
      </c>
      <c r="K178" s="80">
        <f>I178*C178*D178*E178</f>
        <v>10.804499999999999</v>
      </c>
      <c r="O178" s="152">
        <f t="shared" si="34"/>
        <v>0</v>
      </c>
      <c r="P178" s="149">
        <f t="shared" si="35"/>
        <v>10.804499999999999</v>
      </c>
    </row>
    <row r="179" spans="1:16" x14ac:dyDescent="0.25">
      <c r="A179" s="121" t="s">
        <v>180</v>
      </c>
      <c r="B179" s="121">
        <v>2</v>
      </c>
      <c r="C179" s="121">
        <v>0.43</v>
      </c>
      <c r="D179" s="121">
        <v>0.31</v>
      </c>
      <c r="E179" s="121">
        <v>0.15</v>
      </c>
      <c r="F179" s="121">
        <v>50</v>
      </c>
      <c r="G179" s="70"/>
      <c r="H179" s="89">
        <v>783</v>
      </c>
      <c r="I179" s="81">
        <f t="shared" si="43"/>
        <v>15.66</v>
      </c>
      <c r="J179" s="81">
        <f>B179*I179</f>
        <v>31.32</v>
      </c>
      <c r="K179" s="80">
        <f>I179*C179*D179*E179</f>
        <v>0.3131217</v>
      </c>
      <c r="O179" s="152">
        <f t="shared" si="34"/>
        <v>0</v>
      </c>
      <c r="P179" s="149">
        <f t="shared" si="35"/>
        <v>0.3131217</v>
      </c>
    </row>
    <row r="180" spans="1:16" x14ac:dyDescent="0.25">
      <c r="A180" s="242" t="s">
        <v>181</v>
      </c>
      <c r="B180" s="243"/>
      <c r="C180" s="243"/>
      <c r="D180" s="243"/>
      <c r="E180" s="243"/>
      <c r="F180" s="243"/>
      <c r="G180" s="243"/>
      <c r="H180" s="243"/>
      <c r="I180" s="243"/>
      <c r="J180" s="243"/>
      <c r="K180" s="244"/>
      <c r="O180" s="152">
        <f t="shared" si="34"/>
        <v>0</v>
      </c>
      <c r="P180" s="149">
        <f t="shared" si="35"/>
        <v>0</v>
      </c>
    </row>
    <row r="181" spans="1:16" x14ac:dyDescent="0.25">
      <c r="A181" s="72" t="s">
        <v>1</v>
      </c>
      <c r="B181" s="72" t="s">
        <v>2</v>
      </c>
      <c r="C181" s="72" t="s">
        <v>3</v>
      </c>
      <c r="D181" s="72" t="s">
        <v>4</v>
      </c>
      <c r="E181" s="72" t="s">
        <v>5</v>
      </c>
      <c r="F181" s="72" t="s">
        <v>6</v>
      </c>
      <c r="G181" s="70"/>
      <c r="H181" s="88" t="s">
        <v>8</v>
      </c>
      <c r="I181" s="82" t="s">
        <v>9</v>
      </c>
      <c r="J181" s="82" t="s">
        <v>10</v>
      </c>
      <c r="K181" s="49" t="s">
        <v>11</v>
      </c>
      <c r="O181" s="152" t="e">
        <f t="shared" si="34"/>
        <v>#VALUE!</v>
      </c>
      <c r="P181" s="149" t="e">
        <f t="shared" si="35"/>
        <v>#VALUE!</v>
      </c>
    </row>
    <row r="182" spans="1:16" x14ac:dyDescent="0.25">
      <c r="A182" s="72" t="s">
        <v>182</v>
      </c>
      <c r="B182" s="72">
        <v>5</v>
      </c>
      <c r="C182" s="50">
        <v>0.6</v>
      </c>
      <c r="D182" s="72">
        <v>0.48</v>
      </c>
      <c r="E182" s="72">
        <v>0.14000000000000001</v>
      </c>
      <c r="F182" s="72">
        <v>50</v>
      </c>
      <c r="G182" s="70"/>
      <c r="H182" s="89">
        <v>485</v>
      </c>
      <c r="I182" s="81">
        <f t="shared" ref="I182" si="45">H182/F182</f>
        <v>9.6999999999999993</v>
      </c>
      <c r="J182" s="81">
        <f>B182*I182</f>
        <v>48.5</v>
      </c>
      <c r="K182" s="80">
        <f>I182*C182*D182*E182</f>
        <v>0.39110400000000001</v>
      </c>
      <c r="O182" s="152">
        <f t="shared" si="34"/>
        <v>0</v>
      </c>
      <c r="P182" s="149">
        <f t="shared" si="35"/>
        <v>0.39110400000000001</v>
      </c>
    </row>
    <row r="183" spans="1:16" x14ac:dyDescent="0.25">
      <c r="A183" s="245" t="s">
        <v>183</v>
      </c>
      <c r="B183" s="246"/>
      <c r="C183" s="246"/>
      <c r="D183" s="246"/>
      <c r="E183" s="246"/>
      <c r="F183" s="246"/>
      <c r="G183" s="246"/>
      <c r="H183" s="246"/>
      <c r="I183" s="246"/>
      <c r="J183" s="246"/>
      <c r="K183" s="247"/>
      <c r="O183" s="152">
        <f t="shared" si="34"/>
        <v>0</v>
      </c>
      <c r="P183" s="149">
        <f t="shared" si="35"/>
        <v>0</v>
      </c>
    </row>
    <row r="184" spans="1:16" x14ac:dyDescent="0.25">
      <c r="A184" s="73" t="s">
        <v>1</v>
      </c>
      <c r="B184" s="73" t="s">
        <v>2</v>
      </c>
      <c r="C184" s="73" t="s">
        <v>3</v>
      </c>
      <c r="D184" s="73" t="s">
        <v>4</v>
      </c>
      <c r="E184" s="73" t="s">
        <v>5</v>
      </c>
      <c r="F184" s="73" t="s">
        <v>6</v>
      </c>
      <c r="G184" s="127"/>
      <c r="H184" s="88" t="s">
        <v>8</v>
      </c>
      <c r="I184" s="82" t="s">
        <v>9</v>
      </c>
      <c r="J184" s="82" t="s">
        <v>10</v>
      </c>
      <c r="K184" s="49" t="s">
        <v>11</v>
      </c>
      <c r="O184" s="152" t="e">
        <f t="shared" si="34"/>
        <v>#VALUE!</v>
      </c>
      <c r="P184" s="149" t="e">
        <f t="shared" si="35"/>
        <v>#VALUE!</v>
      </c>
    </row>
    <row r="185" spans="1:16" x14ac:dyDescent="0.25">
      <c r="A185" s="73" t="s">
        <v>184</v>
      </c>
      <c r="B185" s="73">
        <v>3</v>
      </c>
      <c r="C185" s="73">
        <v>0.32</v>
      </c>
      <c r="D185" s="73">
        <v>0.28999999999999998</v>
      </c>
      <c r="E185" s="73">
        <v>0.15</v>
      </c>
      <c r="F185" s="73">
        <v>100</v>
      </c>
      <c r="G185" s="70"/>
      <c r="H185" s="89">
        <v>0</v>
      </c>
      <c r="I185" s="81">
        <f>H185/F185</f>
        <v>0</v>
      </c>
      <c r="J185" s="81">
        <f>B185*I185</f>
        <v>0</v>
      </c>
      <c r="K185" s="80">
        <f>I185*C185*D185*E185</f>
        <v>0</v>
      </c>
      <c r="O185" s="152">
        <f t="shared" si="34"/>
        <v>0</v>
      </c>
      <c r="P185" s="149">
        <f t="shared" si="35"/>
        <v>0</v>
      </c>
    </row>
    <row r="186" spans="1:16" x14ac:dyDescent="0.25">
      <c r="A186" s="248" t="s">
        <v>185</v>
      </c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O186" s="152">
        <f t="shared" si="34"/>
        <v>0</v>
      </c>
      <c r="P186" s="149">
        <f t="shared" si="35"/>
        <v>0</v>
      </c>
    </row>
    <row r="187" spans="1:16" x14ac:dyDescent="0.25">
      <c r="A187" s="92" t="s">
        <v>1</v>
      </c>
      <c r="B187" s="92" t="s">
        <v>2</v>
      </c>
      <c r="C187" s="92" t="s">
        <v>3</v>
      </c>
      <c r="D187" s="92" t="s">
        <v>4</v>
      </c>
      <c r="E187" s="92" t="s">
        <v>5</v>
      </c>
      <c r="F187" s="92" t="s">
        <v>6</v>
      </c>
      <c r="G187" s="70"/>
      <c r="H187" s="88" t="s">
        <v>8</v>
      </c>
      <c r="I187" s="82" t="s">
        <v>9</v>
      </c>
      <c r="J187" s="82" t="s">
        <v>10</v>
      </c>
      <c r="K187" s="49" t="s">
        <v>11</v>
      </c>
      <c r="O187" s="152" t="e">
        <f t="shared" si="34"/>
        <v>#VALUE!</v>
      </c>
      <c r="P187" s="149" t="e">
        <f t="shared" si="35"/>
        <v>#VALUE!</v>
      </c>
    </row>
    <row r="188" spans="1:16" x14ac:dyDescent="0.25">
      <c r="A188" s="92" t="s">
        <v>186</v>
      </c>
      <c r="B188" s="92">
        <v>10</v>
      </c>
      <c r="C188" s="92">
        <v>0.28000000000000003</v>
      </c>
      <c r="D188" s="92">
        <v>0.38</v>
      </c>
      <c r="E188" s="92">
        <v>0.32</v>
      </c>
      <c r="F188" s="92">
        <v>1</v>
      </c>
      <c r="G188" s="70"/>
      <c r="H188" s="89">
        <v>0</v>
      </c>
      <c r="I188" s="81">
        <f t="shared" si="43"/>
        <v>0</v>
      </c>
      <c r="J188" s="81">
        <f>B188*I188</f>
        <v>0</v>
      </c>
      <c r="K188" s="80">
        <f>I188*C188*D188*E188</f>
        <v>0</v>
      </c>
      <c r="O188" s="152">
        <f t="shared" si="34"/>
        <v>0</v>
      </c>
      <c r="P188" s="149">
        <f t="shared" si="35"/>
        <v>0</v>
      </c>
    </row>
    <row r="189" spans="1:16" x14ac:dyDescent="0.25">
      <c r="A189" s="92" t="s">
        <v>187</v>
      </c>
      <c r="B189" s="92">
        <v>15</v>
      </c>
      <c r="C189" s="92">
        <v>0.3</v>
      </c>
      <c r="D189" s="92">
        <v>0.3</v>
      </c>
      <c r="E189" s="92">
        <v>0.23</v>
      </c>
      <c r="F189" s="92">
        <v>12</v>
      </c>
      <c r="G189" s="70"/>
      <c r="H189" s="89">
        <v>0</v>
      </c>
      <c r="I189" s="81">
        <f t="shared" si="43"/>
        <v>0</v>
      </c>
      <c r="J189" s="81">
        <f>B189*I189</f>
        <v>0</v>
      </c>
      <c r="K189" s="80">
        <f>I189*C189*D189*E189</f>
        <v>0</v>
      </c>
      <c r="O189" s="152">
        <f t="shared" si="34"/>
        <v>0</v>
      </c>
      <c r="P189" s="149">
        <f t="shared" si="35"/>
        <v>0</v>
      </c>
    </row>
    <row r="190" spans="1:16" x14ac:dyDescent="0.25">
      <c r="A190" s="92" t="s">
        <v>188</v>
      </c>
      <c r="B190" s="92">
        <v>10</v>
      </c>
      <c r="C190" s="92">
        <v>0.28000000000000003</v>
      </c>
      <c r="D190" s="92">
        <v>0.38</v>
      </c>
      <c r="E190" s="92">
        <v>0.33</v>
      </c>
      <c r="F190" s="92">
        <v>1</v>
      </c>
      <c r="G190" s="70"/>
      <c r="H190" s="89">
        <v>36000</v>
      </c>
      <c r="I190" s="81">
        <f t="shared" ref="I190" si="46">H190/F190</f>
        <v>36000</v>
      </c>
      <c r="J190" s="81">
        <f>B190*I190</f>
        <v>360000</v>
      </c>
      <c r="K190" s="80">
        <f>I190*C190*D190*E190</f>
        <v>1264.0320000000002</v>
      </c>
      <c r="O190" s="152">
        <f t="shared" si="34"/>
        <v>0</v>
      </c>
      <c r="P190" s="149">
        <f t="shared" si="35"/>
        <v>1264.0320000000002</v>
      </c>
    </row>
    <row r="191" spans="1:16" x14ac:dyDescent="0.25">
      <c r="A191" s="250" t="s">
        <v>189</v>
      </c>
      <c r="B191" s="251"/>
      <c r="C191" s="251"/>
      <c r="D191" s="251"/>
      <c r="E191" s="251"/>
      <c r="F191" s="251"/>
      <c r="G191" s="251"/>
      <c r="H191" s="251"/>
      <c r="I191" s="251"/>
      <c r="J191" s="251"/>
      <c r="K191" s="252"/>
      <c r="O191" s="152">
        <f t="shared" si="34"/>
        <v>0</v>
      </c>
      <c r="P191" s="149">
        <f t="shared" si="35"/>
        <v>0</v>
      </c>
    </row>
    <row r="192" spans="1:16" x14ac:dyDescent="0.25">
      <c r="A192" s="2" t="s">
        <v>1</v>
      </c>
      <c r="B192" s="2" t="s">
        <v>2</v>
      </c>
      <c r="C192" s="2" t="s">
        <v>3</v>
      </c>
      <c r="D192" s="2" t="s">
        <v>4</v>
      </c>
      <c r="E192" s="2" t="s">
        <v>5</v>
      </c>
      <c r="F192" s="2" t="s">
        <v>6</v>
      </c>
      <c r="G192" s="124"/>
      <c r="H192" s="97" t="s">
        <v>8</v>
      </c>
      <c r="I192" s="82" t="s">
        <v>9</v>
      </c>
      <c r="J192" s="82" t="s">
        <v>10</v>
      </c>
      <c r="K192" s="49" t="s">
        <v>11</v>
      </c>
      <c r="O192" s="152" t="e">
        <f t="shared" si="34"/>
        <v>#VALUE!</v>
      </c>
      <c r="P192" s="149" t="e">
        <f t="shared" si="35"/>
        <v>#VALUE!</v>
      </c>
    </row>
    <row r="193" spans="1:16" x14ac:dyDescent="0.25">
      <c r="A193" s="2" t="s">
        <v>190</v>
      </c>
      <c r="B193" s="112">
        <v>1.5</v>
      </c>
      <c r="C193" s="112">
        <v>0.5</v>
      </c>
      <c r="D193" s="112">
        <v>0.26</v>
      </c>
      <c r="E193" s="2">
        <v>0.14000000000000001</v>
      </c>
      <c r="F193" s="123">
        <v>200</v>
      </c>
      <c r="G193" s="126" t="s">
        <v>191</v>
      </c>
      <c r="H193" s="128">
        <v>200</v>
      </c>
      <c r="I193" s="116">
        <f t="shared" ref="I193" si="47">H193/F193</f>
        <v>1</v>
      </c>
      <c r="J193" s="81">
        <f t="shared" ref="J193:J198" si="48">B193*I193</f>
        <v>1.5</v>
      </c>
      <c r="K193" s="80">
        <f t="shared" ref="K193:K198" si="49">I193*C193*D193*E193</f>
        <v>1.8200000000000001E-2</v>
      </c>
      <c r="O193" s="152">
        <f t="shared" si="34"/>
        <v>0</v>
      </c>
      <c r="P193" s="149">
        <f t="shared" si="35"/>
        <v>1.8200000000000001E-2</v>
      </c>
    </row>
    <row r="194" spans="1:16" x14ac:dyDescent="0.25">
      <c r="A194" s="2" t="s">
        <v>192</v>
      </c>
      <c r="B194" s="112">
        <v>2</v>
      </c>
      <c r="C194" s="112">
        <v>0.6</v>
      </c>
      <c r="D194" s="112">
        <v>0.31</v>
      </c>
      <c r="E194" s="113">
        <v>0.14000000000000001</v>
      </c>
      <c r="F194" s="105">
        <v>200</v>
      </c>
      <c r="G194" s="125"/>
      <c r="H194" s="98">
        <v>6</v>
      </c>
      <c r="I194" s="81">
        <f>H194/F194</f>
        <v>0.03</v>
      </c>
      <c r="J194" s="81">
        <f t="shared" si="48"/>
        <v>0.06</v>
      </c>
      <c r="K194" s="80">
        <f t="shared" si="49"/>
        <v>7.8120000000000002E-4</v>
      </c>
      <c r="O194" s="152">
        <f t="shared" si="34"/>
        <v>0</v>
      </c>
      <c r="P194" s="149">
        <f t="shared" si="35"/>
        <v>7.8120000000000002E-4</v>
      </c>
    </row>
    <row r="195" spans="1:16" x14ac:dyDescent="0.25">
      <c r="A195" s="2" t="s">
        <v>193</v>
      </c>
      <c r="B195" s="112">
        <v>3</v>
      </c>
      <c r="C195" s="112">
        <v>0.7</v>
      </c>
      <c r="D195" s="112">
        <v>0.36</v>
      </c>
      <c r="E195" s="2">
        <v>0.16</v>
      </c>
      <c r="F195" s="114">
        <v>200</v>
      </c>
      <c r="G195" s="70"/>
      <c r="H195" s="89">
        <v>5</v>
      </c>
      <c r="I195" s="81">
        <f>H195/F195</f>
        <v>2.5000000000000001E-2</v>
      </c>
      <c r="J195" s="81">
        <f t="shared" si="48"/>
        <v>7.5000000000000011E-2</v>
      </c>
      <c r="K195" s="80">
        <f t="shared" si="49"/>
        <v>1.0079999999999998E-3</v>
      </c>
      <c r="O195" s="152">
        <f t="shared" si="34"/>
        <v>0</v>
      </c>
      <c r="P195" s="149">
        <f t="shared" si="35"/>
        <v>1.008E-3</v>
      </c>
    </row>
    <row r="196" spans="1:16" x14ac:dyDescent="0.25">
      <c r="A196" s="2" t="s">
        <v>194</v>
      </c>
      <c r="B196" s="112">
        <v>4</v>
      </c>
      <c r="C196" s="112">
        <v>0.79</v>
      </c>
      <c r="D196" s="112">
        <v>0.4</v>
      </c>
      <c r="E196" s="2">
        <v>0.14000000000000001</v>
      </c>
      <c r="F196" s="2">
        <v>200</v>
      </c>
      <c r="G196" s="70"/>
      <c r="H196" s="89">
        <v>100</v>
      </c>
      <c r="I196" s="81">
        <f t="shared" ref="I196:I212" si="50">H196/F196</f>
        <v>0.5</v>
      </c>
      <c r="J196" s="81">
        <f t="shared" si="48"/>
        <v>2</v>
      </c>
      <c r="K196" s="80">
        <f t="shared" si="49"/>
        <v>2.2120000000000008E-2</v>
      </c>
      <c r="O196" s="152">
        <f t="shared" ref="O196:O224" si="51">+L196*B196</f>
        <v>0</v>
      </c>
      <c r="P196" s="149">
        <f t="shared" ref="P196:P224" si="52">+C196*D196*E196*I196</f>
        <v>2.2120000000000008E-2</v>
      </c>
    </row>
    <row r="197" spans="1:16" x14ac:dyDescent="0.25">
      <c r="A197" s="2" t="s">
        <v>195</v>
      </c>
      <c r="B197" s="112">
        <v>3.2</v>
      </c>
      <c r="C197" s="112">
        <v>0.63</v>
      </c>
      <c r="D197" s="112">
        <v>0.3</v>
      </c>
      <c r="E197" s="2">
        <v>0.14000000000000001</v>
      </c>
      <c r="F197" s="2">
        <v>100</v>
      </c>
      <c r="G197" s="2" t="s">
        <v>196</v>
      </c>
      <c r="H197" s="89">
        <v>1000</v>
      </c>
      <c r="I197" s="81">
        <f t="shared" si="50"/>
        <v>10</v>
      </c>
      <c r="J197" s="81">
        <f t="shared" si="48"/>
        <v>32</v>
      </c>
      <c r="K197" s="80">
        <f t="shared" si="49"/>
        <v>0.2646</v>
      </c>
      <c r="O197" s="152">
        <f t="shared" si="51"/>
        <v>0</v>
      </c>
      <c r="P197" s="149">
        <f t="shared" si="52"/>
        <v>0.26460000000000006</v>
      </c>
    </row>
    <row r="198" spans="1:16" x14ac:dyDescent="0.25">
      <c r="A198" s="2" t="s">
        <v>197</v>
      </c>
      <c r="B198" s="2">
        <v>1.5</v>
      </c>
      <c r="C198" s="2">
        <v>0.3</v>
      </c>
      <c r="D198" s="2">
        <v>0.3</v>
      </c>
      <c r="E198" s="2">
        <v>0.15</v>
      </c>
      <c r="F198" s="2">
        <v>50</v>
      </c>
      <c r="G198" s="2" t="s">
        <v>196</v>
      </c>
      <c r="H198" s="89">
        <v>1000</v>
      </c>
      <c r="I198" s="81">
        <f t="shared" si="50"/>
        <v>20</v>
      </c>
      <c r="J198" s="81">
        <f t="shared" si="48"/>
        <v>30</v>
      </c>
      <c r="K198" s="80">
        <f t="shared" si="49"/>
        <v>0.26999999999999996</v>
      </c>
      <c r="O198" s="152">
        <f t="shared" si="51"/>
        <v>0</v>
      </c>
      <c r="P198" s="149">
        <f t="shared" si="52"/>
        <v>0.27</v>
      </c>
    </row>
    <row r="199" spans="1:16" x14ac:dyDescent="0.25">
      <c r="A199" s="253" t="s">
        <v>198</v>
      </c>
      <c r="B199" s="254"/>
      <c r="C199" s="254"/>
      <c r="D199" s="254"/>
      <c r="E199" s="254"/>
      <c r="F199" s="254"/>
      <c r="G199" s="254"/>
      <c r="H199" s="254"/>
      <c r="I199" s="254"/>
      <c r="J199" s="254"/>
      <c r="K199" s="255"/>
      <c r="O199" s="152">
        <f t="shared" si="51"/>
        <v>0</v>
      </c>
      <c r="P199" s="149">
        <f t="shared" si="52"/>
        <v>0</v>
      </c>
    </row>
    <row r="200" spans="1:16" x14ac:dyDescent="0.25">
      <c r="A200" s="78" t="s">
        <v>1</v>
      </c>
      <c r="B200" s="78" t="s">
        <v>2</v>
      </c>
      <c r="C200" s="78" t="s">
        <v>3</v>
      </c>
      <c r="D200" s="78" t="s">
        <v>4</v>
      </c>
      <c r="E200" s="78" t="s">
        <v>5</v>
      </c>
      <c r="F200" s="78" t="s">
        <v>6</v>
      </c>
      <c r="G200" s="70"/>
      <c r="H200" s="88" t="s">
        <v>8</v>
      </c>
      <c r="I200" s="82" t="s">
        <v>9</v>
      </c>
      <c r="J200" s="82" t="s">
        <v>10</v>
      </c>
      <c r="K200" s="49" t="s">
        <v>11</v>
      </c>
      <c r="O200" s="152" t="e">
        <f t="shared" si="51"/>
        <v>#VALUE!</v>
      </c>
      <c r="P200" s="149" t="e">
        <f t="shared" si="52"/>
        <v>#VALUE!</v>
      </c>
    </row>
    <row r="201" spans="1:16" x14ac:dyDescent="0.25">
      <c r="A201" s="78" t="s">
        <v>199</v>
      </c>
      <c r="B201" s="78">
        <v>0.8</v>
      </c>
      <c r="C201" s="78">
        <v>12.5</v>
      </c>
      <c r="D201" s="78">
        <v>12.5</v>
      </c>
      <c r="E201" s="78">
        <v>11</v>
      </c>
      <c r="F201" s="78">
        <v>1</v>
      </c>
      <c r="G201" s="70"/>
      <c r="H201" s="89">
        <v>12</v>
      </c>
      <c r="I201" s="142">
        <f>H201/F201</f>
        <v>12</v>
      </c>
      <c r="J201" s="81">
        <f>B201*I201</f>
        <v>9.6000000000000014</v>
      </c>
      <c r="K201" s="80">
        <f>I201*C201*D201*E201</f>
        <v>20625</v>
      </c>
      <c r="O201" s="152">
        <f t="shared" si="51"/>
        <v>0</v>
      </c>
      <c r="P201" s="149">
        <f t="shared" si="52"/>
        <v>20625</v>
      </c>
    </row>
    <row r="202" spans="1:16" x14ac:dyDescent="0.25">
      <c r="A202" s="78" t="s">
        <v>200</v>
      </c>
      <c r="B202" s="78">
        <v>14</v>
      </c>
      <c r="C202" s="78">
        <v>56</v>
      </c>
      <c r="D202" s="78">
        <v>12</v>
      </c>
      <c r="E202" s="78">
        <v>26</v>
      </c>
      <c r="F202" s="78">
        <v>10</v>
      </c>
      <c r="G202" s="70"/>
      <c r="H202" s="89">
        <v>12</v>
      </c>
      <c r="I202" s="81">
        <f>H202/F202</f>
        <v>1.2</v>
      </c>
      <c r="J202" s="81">
        <f>B202*I202</f>
        <v>16.8</v>
      </c>
      <c r="K202" s="142">
        <f>I202*C202*D202*E202</f>
        <v>20966.400000000001</v>
      </c>
      <c r="O202" s="152">
        <f t="shared" si="51"/>
        <v>0</v>
      </c>
      <c r="P202" s="149">
        <f t="shared" si="52"/>
        <v>20966.399999999998</v>
      </c>
    </row>
    <row r="203" spans="1:16" x14ac:dyDescent="0.25">
      <c r="A203" s="216" t="s">
        <v>201</v>
      </c>
      <c r="B203" s="217"/>
      <c r="C203" s="217"/>
      <c r="D203" s="217"/>
      <c r="E203" s="217"/>
      <c r="F203" s="217"/>
      <c r="G203" s="217"/>
      <c r="H203" s="217"/>
      <c r="I203" s="217"/>
      <c r="J203" s="217"/>
      <c r="K203" s="218"/>
      <c r="O203" s="152">
        <f t="shared" si="51"/>
        <v>0</v>
      </c>
      <c r="P203" s="149">
        <f t="shared" si="52"/>
        <v>0</v>
      </c>
    </row>
    <row r="204" spans="1:16" x14ac:dyDescent="0.25">
      <c r="A204" s="67" t="s">
        <v>1</v>
      </c>
      <c r="B204" s="67" t="s">
        <v>2</v>
      </c>
      <c r="C204" s="67" t="s">
        <v>3</v>
      </c>
      <c r="D204" s="67" t="s">
        <v>4</v>
      </c>
      <c r="E204" s="67" t="s">
        <v>5</v>
      </c>
      <c r="F204" s="67" t="s">
        <v>6</v>
      </c>
      <c r="G204" s="70"/>
      <c r="H204" s="88" t="s">
        <v>8</v>
      </c>
      <c r="I204" s="82" t="s">
        <v>9</v>
      </c>
      <c r="J204" s="82" t="s">
        <v>10</v>
      </c>
      <c r="K204" s="49" t="s">
        <v>11</v>
      </c>
      <c r="O204" s="152" t="e">
        <f t="shared" si="51"/>
        <v>#VALUE!</v>
      </c>
      <c r="P204" s="149" t="e">
        <f t="shared" si="52"/>
        <v>#VALUE!</v>
      </c>
    </row>
    <row r="205" spans="1:16" ht="15.75" customHeight="1" x14ac:dyDescent="0.25">
      <c r="A205" s="67" t="s">
        <v>202</v>
      </c>
      <c r="B205" s="67">
        <v>3</v>
      </c>
      <c r="C205" s="67">
        <v>0.45</v>
      </c>
      <c r="D205" s="67">
        <v>0.45</v>
      </c>
      <c r="E205" s="67">
        <v>0.15</v>
      </c>
      <c r="F205" s="67">
        <v>50</v>
      </c>
      <c r="G205" s="70"/>
      <c r="H205" s="89">
        <v>1200</v>
      </c>
      <c r="I205" s="81">
        <f t="shared" ref="I205" si="53">H205/F205</f>
        <v>24</v>
      </c>
      <c r="J205" s="81">
        <f>B205*I205</f>
        <v>72</v>
      </c>
      <c r="K205" s="80">
        <f>I205*C205*D205*E205</f>
        <v>0.72899999999999998</v>
      </c>
      <c r="O205" s="152">
        <f t="shared" si="51"/>
        <v>0</v>
      </c>
      <c r="P205" s="149">
        <f t="shared" si="52"/>
        <v>0.72899999999999998</v>
      </c>
    </row>
    <row r="206" spans="1:16" ht="15.75" customHeight="1" x14ac:dyDescent="0.25">
      <c r="A206" s="67" t="s">
        <v>203</v>
      </c>
      <c r="B206" s="67">
        <v>3</v>
      </c>
      <c r="C206" s="67">
        <v>0.46</v>
      </c>
      <c r="D206" s="67">
        <v>0.46</v>
      </c>
      <c r="E206" s="67">
        <v>0.08</v>
      </c>
      <c r="F206" s="67">
        <v>50</v>
      </c>
      <c r="G206" s="70"/>
      <c r="H206" s="89">
        <v>2000</v>
      </c>
      <c r="I206" s="81">
        <f t="shared" si="50"/>
        <v>40</v>
      </c>
      <c r="J206" s="81">
        <f>B206*I206</f>
        <v>120</v>
      </c>
      <c r="K206" s="80">
        <f>I206*C206*D206*E206</f>
        <v>0.67712000000000017</v>
      </c>
      <c r="O206" s="152">
        <f t="shared" si="51"/>
        <v>0</v>
      </c>
      <c r="P206" s="149">
        <f t="shared" si="52"/>
        <v>0.67712000000000006</v>
      </c>
    </row>
    <row r="207" spans="1:16" ht="18" customHeight="1" x14ac:dyDescent="0.25">
      <c r="A207" s="67" t="s">
        <v>204</v>
      </c>
      <c r="B207" s="67">
        <v>2</v>
      </c>
      <c r="C207" s="67">
        <v>0.57999999999999996</v>
      </c>
      <c r="D207" s="67">
        <v>0.6</v>
      </c>
      <c r="E207" s="67">
        <v>0.15</v>
      </c>
      <c r="F207" s="67">
        <v>50</v>
      </c>
      <c r="G207" s="70"/>
      <c r="H207" s="89">
        <v>2921</v>
      </c>
      <c r="I207" s="81">
        <f t="shared" si="50"/>
        <v>58.42</v>
      </c>
      <c r="J207" s="81">
        <f>B207*I207</f>
        <v>116.84</v>
      </c>
      <c r="K207" s="80">
        <f>I207*C207*D207*E207</f>
        <v>3.0495239999999999</v>
      </c>
      <c r="O207" s="152">
        <f t="shared" si="51"/>
        <v>0</v>
      </c>
      <c r="P207" s="149">
        <f t="shared" si="52"/>
        <v>3.0495239999999999</v>
      </c>
    </row>
    <row r="208" spans="1:16" x14ac:dyDescent="0.25">
      <c r="A208" s="67" t="s">
        <v>205</v>
      </c>
      <c r="B208" s="67">
        <v>3</v>
      </c>
      <c r="C208" s="67">
        <v>0.8</v>
      </c>
      <c r="D208" s="67">
        <v>0.45</v>
      </c>
      <c r="E208" s="67">
        <v>0.15</v>
      </c>
      <c r="F208" s="67">
        <v>400</v>
      </c>
      <c r="G208" s="70"/>
      <c r="H208" s="89">
        <v>0</v>
      </c>
      <c r="I208" s="81">
        <f t="shared" si="50"/>
        <v>0</v>
      </c>
      <c r="J208" s="81">
        <f>B208*I208</f>
        <v>0</v>
      </c>
      <c r="K208" s="80">
        <f>I208*C208*D208*E208</f>
        <v>0</v>
      </c>
      <c r="O208" s="152">
        <f t="shared" si="51"/>
        <v>0</v>
      </c>
      <c r="P208" s="149">
        <f t="shared" si="52"/>
        <v>0</v>
      </c>
    </row>
    <row r="209" spans="1:16" ht="18" customHeight="1" x14ac:dyDescent="0.25">
      <c r="A209" s="219" t="s">
        <v>206</v>
      </c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O209" s="152">
        <f t="shared" si="51"/>
        <v>0</v>
      </c>
      <c r="P209" s="149">
        <f t="shared" si="52"/>
        <v>0</v>
      </c>
    </row>
    <row r="210" spans="1:16" x14ac:dyDescent="0.25">
      <c r="A210" s="93" t="s">
        <v>1</v>
      </c>
      <c r="B210" s="93" t="s">
        <v>2</v>
      </c>
      <c r="C210" s="93" t="s">
        <v>3</v>
      </c>
      <c r="D210" s="93" t="s">
        <v>4</v>
      </c>
      <c r="E210" s="93" t="s">
        <v>5</v>
      </c>
      <c r="F210" s="93" t="s">
        <v>6</v>
      </c>
      <c r="G210" s="70"/>
      <c r="H210" s="88" t="s">
        <v>8</v>
      </c>
      <c r="I210" s="82" t="s">
        <v>9</v>
      </c>
      <c r="J210" s="82" t="s">
        <v>10</v>
      </c>
      <c r="K210" s="49" t="s">
        <v>11</v>
      </c>
      <c r="O210" s="152" t="e">
        <f t="shared" si="51"/>
        <v>#VALUE!</v>
      </c>
      <c r="P210" s="149" t="e">
        <f t="shared" si="52"/>
        <v>#VALUE!</v>
      </c>
    </row>
    <row r="211" spans="1:16" x14ac:dyDescent="0.25">
      <c r="A211" s="93" t="s">
        <v>98</v>
      </c>
      <c r="B211" s="93">
        <v>6.5</v>
      </c>
      <c r="C211" s="93">
        <v>0.67</v>
      </c>
      <c r="D211" s="93">
        <v>0.35</v>
      </c>
      <c r="E211" s="13">
        <v>0.1</v>
      </c>
      <c r="F211" s="93">
        <v>50</v>
      </c>
      <c r="G211" s="70"/>
      <c r="H211" s="89">
        <v>100</v>
      </c>
      <c r="I211" s="81">
        <f t="shared" si="50"/>
        <v>2</v>
      </c>
      <c r="J211" s="81">
        <f>B211*I211</f>
        <v>13</v>
      </c>
      <c r="K211" s="80">
        <f>I211*C211*D211*E211</f>
        <v>4.6899999999999997E-2</v>
      </c>
      <c r="O211" s="152">
        <f t="shared" si="51"/>
        <v>0</v>
      </c>
      <c r="P211" s="149">
        <f t="shared" si="52"/>
        <v>4.6899999999999997E-2</v>
      </c>
    </row>
    <row r="212" spans="1:16" x14ac:dyDescent="0.25">
      <c r="A212" s="93" t="s">
        <v>207</v>
      </c>
      <c r="B212" s="93">
        <v>12</v>
      </c>
      <c r="C212" s="93">
        <v>0.67</v>
      </c>
      <c r="D212" s="93">
        <v>0.59</v>
      </c>
      <c r="E212" s="13">
        <v>0.1</v>
      </c>
      <c r="F212" s="93">
        <v>50</v>
      </c>
      <c r="G212" s="70"/>
      <c r="H212" s="89">
        <v>0</v>
      </c>
      <c r="I212" s="81">
        <f t="shared" si="50"/>
        <v>0</v>
      </c>
      <c r="J212" s="81">
        <f>B212*I212</f>
        <v>0</v>
      </c>
      <c r="K212" s="80">
        <f>I212*C212*D212*E212</f>
        <v>0</v>
      </c>
      <c r="O212" s="152">
        <f t="shared" si="51"/>
        <v>0</v>
      </c>
      <c r="P212" s="149">
        <f t="shared" si="52"/>
        <v>0</v>
      </c>
    </row>
    <row r="213" spans="1:16" x14ac:dyDescent="0.25">
      <c r="A213" s="221" t="s">
        <v>208</v>
      </c>
      <c r="B213" s="222"/>
      <c r="C213" s="222"/>
      <c r="D213" s="222"/>
      <c r="E213" s="222"/>
      <c r="F213" s="222"/>
      <c r="G213" s="222"/>
      <c r="H213" s="222"/>
      <c r="I213" s="222"/>
      <c r="J213" s="222"/>
      <c r="K213" s="223"/>
      <c r="O213" s="152">
        <f t="shared" si="51"/>
        <v>0</v>
      </c>
      <c r="P213" s="149">
        <f t="shared" si="52"/>
        <v>0</v>
      </c>
    </row>
    <row r="214" spans="1:16" x14ac:dyDescent="0.25">
      <c r="A214" s="22" t="s">
        <v>1</v>
      </c>
      <c r="B214" s="22" t="s">
        <v>2</v>
      </c>
      <c r="C214" s="22" t="s">
        <v>3</v>
      </c>
      <c r="D214" s="22" t="s">
        <v>4</v>
      </c>
      <c r="E214" s="22" t="s">
        <v>5</v>
      </c>
      <c r="F214" s="22" t="s">
        <v>6</v>
      </c>
      <c r="G214" s="70"/>
      <c r="H214" s="88" t="s">
        <v>8</v>
      </c>
      <c r="I214" s="82" t="s">
        <v>9</v>
      </c>
      <c r="J214" s="82" t="s">
        <v>61</v>
      </c>
      <c r="K214" s="49" t="s">
        <v>11</v>
      </c>
      <c r="O214" s="152" t="e">
        <f t="shared" si="51"/>
        <v>#VALUE!</v>
      </c>
      <c r="P214" s="149" t="e">
        <f t="shared" si="52"/>
        <v>#VALUE!</v>
      </c>
    </row>
    <row r="215" spans="1:16" x14ac:dyDescent="0.25">
      <c r="A215" s="22" t="s">
        <v>98</v>
      </c>
      <c r="B215" s="22">
        <v>5.5</v>
      </c>
      <c r="C215" s="22">
        <v>0.35</v>
      </c>
      <c r="D215" s="22">
        <v>0.69</v>
      </c>
      <c r="E215" s="22">
        <v>0.14000000000000001</v>
      </c>
      <c r="F215" s="22">
        <v>50</v>
      </c>
      <c r="G215" s="70"/>
      <c r="H215" s="89">
        <v>0</v>
      </c>
      <c r="I215" s="81">
        <f>H215/F215</f>
        <v>0</v>
      </c>
      <c r="J215" s="81">
        <f t="shared" ref="J215:J223" si="54">B215*I215</f>
        <v>0</v>
      </c>
      <c r="K215" s="80">
        <f t="shared" ref="K215:K223" si="55">I215*C215*D215*E215</f>
        <v>0</v>
      </c>
      <c r="O215" s="152">
        <f t="shared" si="51"/>
        <v>0</v>
      </c>
      <c r="P215" s="149">
        <f t="shared" si="52"/>
        <v>0</v>
      </c>
    </row>
    <row r="216" spans="1:16" x14ac:dyDescent="0.25">
      <c r="A216" s="22" t="s">
        <v>207</v>
      </c>
      <c r="B216" s="22">
        <v>9.5</v>
      </c>
      <c r="C216" s="22">
        <v>0.6</v>
      </c>
      <c r="D216" s="22">
        <v>0.69</v>
      </c>
      <c r="E216" s="22">
        <v>0.14000000000000001</v>
      </c>
      <c r="F216" s="22">
        <v>50</v>
      </c>
      <c r="G216" s="70"/>
      <c r="H216" s="89">
        <v>1031</v>
      </c>
      <c r="I216" s="81">
        <f>H216/F216</f>
        <v>20.62</v>
      </c>
      <c r="J216" s="81">
        <f t="shared" si="54"/>
        <v>195.89000000000001</v>
      </c>
      <c r="K216" s="80">
        <f t="shared" si="55"/>
        <v>1.1951352</v>
      </c>
      <c r="O216" s="152">
        <f t="shared" si="51"/>
        <v>0</v>
      </c>
      <c r="P216" s="149">
        <f t="shared" si="52"/>
        <v>1.1951352000000002</v>
      </c>
    </row>
    <row r="217" spans="1:16" x14ac:dyDescent="0.25">
      <c r="A217" s="22" t="s">
        <v>209</v>
      </c>
      <c r="B217" s="22">
        <v>4</v>
      </c>
      <c r="C217" s="22">
        <v>0.33</v>
      </c>
      <c r="D217" s="22">
        <v>0.36</v>
      </c>
      <c r="E217" s="22">
        <v>7.0000000000000007E-2</v>
      </c>
      <c r="F217" s="22">
        <v>250</v>
      </c>
      <c r="G217" s="70"/>
      <c r="H217" s="89">
        <v>0</v>
      </c>
      <c r="I217" s="81">
        <f>H217/F217</f>
        <v>0</v>
      </c>
      <c r="J217" s="81">
        <f t="shared" si="54"/>
        <v>0</v>
      </c>
      <c r="K217" s="80">
        <f t="shared" si="55"/>
        <v>0</v>
      </c>
      <c r="O217" s="152">
        <f t="shared" si="51"/>
        <v>0</v>
      </c>
      <c r="P217" s="149">
        <f t="shared" si="52"/>
        <v>0</v>
      </c>
    </row>
    <row r="218" spans="1:16" x14ac:dyDescent="0.25">
      <c r="A218" s="22" t="s">
        <v>105</v>
      </c>
      <c r="B218" s="22">
        <v>3</v>
      </c>
      <c r="C218" s="22">
        <v>0.42</v>
      </c>
      <c r="D218" s="22">
        <v>0.46</v>
      </c>
      <c r="E218" s="22">
        <v>7.0000000000000007E-2</v>
      </c>
      <c r="F218" s="22">
        <v>250</v>
      </c>
      <c r="G218" s="70"/>
      <c r="H218" s="89">
        <v>500</v>
      </c>
      <c r="I218" s="81">
        <f>H218/F218</f>
        <v>2</v>
      </c>
      <c r="J218" s="81">
        <f t="shared" si="54"/>
        <v>6</v>
      </c>
      <c r="K218" s="80">
        <f t="shared" si="55"/>
        <v>2.7048000000000003E-2</v>
      </c>
      <c r="O218" s="152">
        <f t="shared" si="51"/>
        <v>0</v>
      </c>
      <c r="P218" s="149">
        <f t="shared" si="52"/>
        <v>2.7048000000000003E-2</v>
      </c>
    </row>
    <row r="219" spans="1:16" x14ac:dyDescent="0.25">
      <c r="A219" s="22" t="s">
        <v>210</v>
      </c>
      <c r="B219" s="22">
        <v>7.5</v>
      </c>
      <c r="C219" s="22">
        <v>0.6</v>
      </c>
      <c r="D219" s="22">
        <v>0.43</v>
      </c>
      <c r="E219" s="22">
        <v>0.05</v>
      </c>
      <c r="F219" s="22">
        <v>25</v>
      </c>
      <c r="G219" s="70"/>
      <c r="H219" s="89">
        <v>3120</v>
      </c>
      <c r="I219" s="81">
        <f t="shared" ref="I219" si="56">H219/F219</f>
        <v>124.8</v>
      </c>
      <c r="J219" s="81">
        <f t="shared" si="54"/>
        <v>936</v>
      </c>
      <c r="K219" s="80">
        <f t="shared" si="55"/>
        <v>1.60992</v>
      </c>
      <c r="O219" s="152">
        <f t="shared" si="51"/>
        <v>0</v>
      </c>
      <c r="P219" s="149">
        <f t="shared" si="52"/>
        <v>1.6099200000000002</v>
      </c>
    </row>
    <row r="220" spans="1:16" x14ac:dyDescent="0.25">
      <c r="A220" s="22" t="s">
        <v>211</v>
      </c>
      <c r="B220" s="22">
        <v>4</v>
      </c>
      <c r="C220" s="22">
        <v>0.4</v>
      </c>
      <c r="D220" s="22">
        <v>0.22</v>
      </c>
      <c r="E220" s="22">
        <v>0.11</v>
      </c>
      <c r="F220" s="22">
        <v>200</v>
      </c>
      <c r="G220" s="70"/>
      <c r="H220" s="89">
        <v>2000</v>
      </c>
      <c r="I220" s="81">
        <f t="shared" ref="I220" si="57">H220/F220</f>
        <v>10</v>
      </c>
      <c r="J220" s="81">
        <f t="shared" si="54"/>
        <v>40</v>
      </c>
      <c r="K220" s="80">
        <f t="shared" si="55"/>
        <v>9.6799999999999997E-2</v>
      </c>
      <c r="O220" s="152">
        <f t="shared" si="51"/>
        <v>0</v>
      </c>
      <c r="P220" s="149">
        <f t="shared" si="52"/>
        <v>9.6800000000000011E-2</v>
      </c>
    </row>
    <row r="221" spans="1:16" x14ac:dyDescent="0.25">
      <c r="A221" s="22" t="s">
        <v>212</v>
      </c>
      <c r="B221" s="22">
        <v>4</v>
      </c>
      <c r="C221" s="22">
        <v>0.38</v>
      </c>
      <c r="D221" s="22">
        <v>0.22</v>
      </c>
      <c r="E221" s="22">
        <v>0.08</v>
      </c>
      <c r="F221" s="22">
        <v>100</v>
      </c>
      <c r="G221" s="70"/>
      <c r="H221" s="89">
        <v>1000</v>
      </c>
      <c r="I221" s="81">
        <f t="shared" ref="I221" si="58">H221/F221</f>
        <v>10</v>
      </c>
      <c r="J221" s="81">
        <f t="shared" si="54"/>
        <v>40</v>
      </c>
      <c r="K221" s="80">
        <f t="shared" si="55"/>
        <v>6.6879999999999995E-2</v>
      </c>
      <c r="O221" s="152">
        <f t="shared" si="51"/>
        <v>0</v>
      </c>
      <c r="P221" s="149">
        <f t="shared" si="52"/>
        <v>6.6880000000000009E-2</v>
      </c>
    </row>
    <row r="222" spans="1:16" x14ac:dyDescent="0.25">
      <c r="A222" s="22" t="s">
        <v>213</v>
      </c>
      <c r="B222" s="22">
        <v>15</v>
      </c>
      <c r="C222" s="22">
        <v>1.18</v>
      </c>
      <c r="D222" s="22">
        <v>0.59</v>
      </c>
      <c r="E222" s="22">
        <v>0.15</v>
      </c>
      <c r="F222" s="22">
        <v>50</v>
      </c>
      <c r="G222" s="70"/>
      <c r="H222" s="89">
        <v>3933</v>
      </c>
      <c r="I222" s="81">
        <f t="shared" ref="I222" si="59">H222/F222</f>
        <v>78.66</v>
      </c>
      <c r="J222" s="81">
        <f t="shared" si="54"/>
        <v>1179.8999999999999</v>
      </c>
      <c r="K222" s="80">
        <f t="shared" si="55"/>
        <v>8.214463799999999</v>
      </c>
      <c r="O222" s="152">
        <f t="shared" si="51"/>
        <v>0</v>
      </c>
      <c r="P222" s="149">
        <f t="shared" si="52"/>
        <v>8.214463799999999</v>
      </c>
    </row>
    <row r="223" spans="1:16" x14ac:dyDescent="0.25">
      <c r="A223" s="22" t="s">
        <v>214</v>
      </c>
      <c r="B223" s="22">
        <v>2.085</v>
      </c>
      <c r="C223" s="22">
        <v>0.34</v>
      </c>
      <c r="D223" s="22">
        <v>0.12</v>
      </c>
      <c r="E223" s="22">
        <v>0.08</v>
      </c>
      <c r="F223" s="22">
        <v>50</v>
      </c>
      <c r="G223" s="70"/>
      <c r="H223" s="89">
        <v>4000</v>
      </c>
      <c r="I223" s="81">
        <f t="shared" ref="I223" si="60">H223/F223</f>
        <v>80</v>
      </c>
      <c r="J223" s="81">
        <f t="shared" si="54"/>
        <v>166.8</v>
      </c>
      <c r="K223" s="80">
        <f t="shared" si="55"/>
        <v>0.26112000000000002</v>
      </c>
      <c r="O223" s="152">
        <f t="shared" si="51"/>
        <v>0</v>
      </c>
      <c r="P223" s="149">
        <f t="shared" si="52"/>
        <v>0.26112000000000002</v>
      </c>
    </row>
    <row r="224" spans="1:16" x14ac:dyDescent="0.25">
      <c r="A224" s="78" t="s">
        <v>53</v>
      </c>
      <c r="B224" s="78">
        <v>4.5</v>
      </c>
      <c r="C224" s="78">
        <v>0.24</v>
      </c>
      <c r="D224" s="78">
        <v>0.16</v>
      </c>
      <c r="E224" s="78">
        <v>0.16</v>
      </c>
      <c r="F224" s="78">
        <v>1</v>
      </c>
      <c r="H224" s="89">
        <v>30</v>
      </c>
      <c r="I224" s="81">
        <f>H224/F224</f>
        <v>30</v>
      </c>
      <c r="J224" s="81">
        <f>B224*I224</f>
        <v>135</v>
      </c>
      <c r="K224" s="80">
        <f>I224*C224*D224*E224</f>
        <v>0.18431999999999998</v>
      </c>
      <c r="O224" s="152">
        <f t="shared" si="51"/>
        <v>0</v>
      </c>
      <c r="P224" s="149">
        <f t="shared" si="52"/>
        <v>0.18431999999999998</v>
      </c>
    </row>
  </sheetData>
  <mergeCells count="33">
    <mergeCell ref="R40:W40"/>
    <mergeCell ref="R31:AB31"/>
    <mergeCell ref="A119:K119"/>
    <mergeCell ref="R42:AB42"/>
    <mergeCell ref="A123:K123"/>
    <mergeCell ref="A129:K129"/>
    <mergeCell ref="A133:K133"/>
    <mergeCell ref="A1:F1"/>
    <mergeCell ref="A30:K30"/>
    <mergeCell ref="A26:K26"/>
    <mergeCell ref="A64:K64"/>
    <mergeCell ref="A77:K77"/>
    <mergeCell ref="A83:K83"/>
    <mergeCell ref="A90:K90"/>
    <mergeCell ref="A95:K95"/>
    <mergeCell ref="A113:K113"/>
    <mergeCell ref="A116:K116"/>
    <mergeCell ref="R29:AB29"/>
    <mergeCell ref="A203:K203"/>
    <mergeCell ref="A209:K209"/>
    <mergeCell ref="A213:K213"/>
    <mergeCell ref="A140:K140"/>
    <mergeCell ref="A146:K146"/>
    <mergeCell ref="A154:K154"/>
    <mergeCell ref="A163:K163"/>
    <mergeCell ref="A169:K169"/>
    <mergeCell ref="A173:K173"/>
    <mergeCell ref="A176:K176"/>
    <mergeCell ref="A180:K180"/>
    <mergeCell ref="A183:K183"/>
    <mergeCell ref="A186:K186"/>
    <mergeCell ref="A191:K191"/>
    <mergeCell ref="A199:K199"/>
  </mergeCells>
  <phoneticPr fontId="26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J69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2683-735F-423A-B711-D26C81849B03}">
  <dimension ref="A1:M6"/>
  <sheetViews>
    <sheetView workbookViewId="0">
      <selection activeCell="K1" sqref="A1:K4"/>
    </sheetView>
  </sheetViews>
  <sheetFormatPr defaultRowHeight="15" x14ac:dyDescent="0.25"/>
  <cols>
    <col min="1" max="1" width="16.7109375" bestFit="1" customWidth="1"/>
    <col min="10" max="10" width="12" bestFit="1" customWidth="1"/>
  </cols>
  <sheetData>
    <row r="1" spans="1:13" x14ac:dyDescent="0.25">
      <c r="A1" s="78" t="s">
        <v>1</v>
      </c>
      <c r="B1" s="78" t="s">
        <v>2</v>
      </c>
      <c r="C1" s="78" t="s">
        <v>3</v>
      </c>
      <c r="D1" s="78" t="s">
        <v>4</v>
      </c>
      <c r="E1" s="78" t="s">
        <v>44</v>
      </c>
      <c r="F1" s="93" t="s">
        <v>215</v>
      </c>
      <c r="G1" s="2" t="s">
        <v>216</v>
      </c>
      <c r="H1" s="88" t="s">
        <v>217</v>
      </c>
      <c r="I1" s="82" t="s">
        <v>9</v>
      </c>
      <c r="J1" s="82" t="s">
        <v>10</v>
      </c>
      <c r="K1" s="49" t="s">
        <v>11</v>
      </c>
      <c r="L1" s="18" t="s">
        <v>288</v>
      </c>
      <c r="M1" s="18" t="s">
        <v>287</v>
      </c>
    </row>
    <row r="2" spans="1:13" x14ac:dyDescent="0.25">
      <c r="A2" s="78" t="s">
        <v>49</v>
      </c>
      <c r="B2" s="78">
        <v>3</v>
      </c>
      <c r="C2" s="78">
        <v>0.28999999999999998</v>
      </c>
      <c r="D2" s="78">
        <v>0.57999999999999996</v>
      </c>
      <c r="E2" s="78">
        <v>0.17</v>
      </c>
      <c r="F2" s="93">
        <v>50</v>
      </c>
      <c r="G2" s="2" t="s">
        <v>29</v>
      </c>
      <c r="H2" s="89">
        <v>100</v>
      </c>
      <c r="I2" s="81">
        <f t="shared" ref="I2:I3" si="0">H2/F2</f>
        <v>2</v>
      </c>
      <c r="J2" s="81">
        <f t="shared" ref="J2" si="1">B2*I2</f>
        <v>6</v>
      </c>
      <c r="K2" s="80">
        <f>I2*C2*D2*E2</f>
        <v>5.7188000000000003E-2</v>
      </c>
      <c r="L2" s="3">
        <f>+I2*B2</f>
        <v>6</v>
      </c>
      <c r="M2" s="149">
        <f>+C2*D2*E2*H2/F2</f>
        <v>5.7187999999999996E-2</v>
      </c>
    </row>
    <row r="3" spans="1:13" x14ac:dyDescent="0.25">
      <c r="A3" s="78" t="s">
        <v>60</v>
      </c>
      <c r="B3" s="78">
        <v>6.5</v>
      </c>
      <c r="C3" s="19">
        <v>0.8</v>
      </c>
      <c r="D3" s="19">
        <v>0.4</v>
      </c>
      <c r="E3" s="78">
        <v>0.15</v>
      </c>
      <c r="F3" s="93">
        <v>50</v>
      </c>
      <c r="G3" s="2" t="s">
        <v>218</v>
      </c>
      <c r="H3" s="89">
        <v>50</v>
      </c>
      <c r="I3" s="81">
        <f t="shared" si="0"/>
        <v>1</v>
      </c>
      <c r="J3" s="81">
        <f t="shared" ref="J3" si="2">B3*I3</f>
        <v>6.5</v>
      </c>
      <c r="K3" s="80">
        <f t="shared" ref="K3" si="3">I3*C3*D3*E3</f>
        <v>4.8000000000000008E-2</v>
      </c>
      <c r="L3" s="3">
        <f t="shared" ref="L3:L4" si="4">+I3*B3</f>
        <v>6.5</v>
      </c>
      <c r="M3" s="149">
        <f t="shared" ref="M3:M4" si="5">+C3*D3*E3*H3/F3</f>
        <v>4.8000000000000008E-2</v>
      </c>
    </row>
    <row r="4" spans="1:13" x14ac:dyDescent="0.25">
      <c r="A4" s="78" t="s">
        <v>59</v>
      </c>
      <c r="B4" s="78">
        <v>10</v>
      </c>
      <c r="C4" s="78">
        <v>0.92</v>
      </c>
      <c r="D4" s="78">
        <v>0.48</v>
      </c>
      <c r="E4" s="78">
        <v>0.15</v>
      </c>
      <c r="F4" s="93">
        <v>50</v>
      </c>
      <c r="G4" s="2" t="s">
        <v>218</v>
      </c>
      <c r="H4" s="89">
        <v>800</v>
      </c>
      <c r="I4" s="81">
        <f t="shared" ref="I4" si="6">H4/F4</f>
        <v>16</v>
      </c>
      <c r="J4" s="81">
        <f>B4*I4</f>
        <v>160</v>
      </c>
      <c r="K4" s="80">
        <f>I4*C4*D4*E4</f>
        <v>1.0598399999999999</v>
      </c>
      <c r="L4" s="3">
        <f t="shared" si="4"/>
        <v>160</v>
      </c>
      <c r="M4" s="149">
        <f t="shared" si="5"/>
        <v>1.0598399999999999</v>
      </c>
    </row>
    <row r="6" spans="1:13" x14ac:dyDescent="0.25">
      <c r="I6" s="5">
        <f>SUM(I2:I4)</f>
        <v>19</v>
      </c>
      <c r="J6" s="5">
        <f>SUM(J2:J4)</f>
        <v>172.5</v>
      </c>
      <c r="K6" s="6">
        <f>SUM(K2:K4)</f>
        <v>1.165028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323E-6728-4BB4-A5C7-74EE63784131}">
  <dimension ref="A1:M6"/>
  <sheetViews>
    <sheetView workbookViewId="0">
      <selection activeCell="F1" sqref="F1:G4"/>
    </sheetView>
  </sheetViews>
  <sheetFormatPr defaultRowHeight="15" x14ac:dyDescent="0.25"/>
  <cols>
    <col min="1" max="1" width="15.5703125" bestFit="1" customWidth="1"/>
    <col min="8" max="8" width="9.140625" bestFit="1" customWidth="1"/>
    <col min="10" max="10" width="11.5703125" bestFit="1" customWidth="1"/>
  </cols>
  <sheetData>
    <row r="1" spans="1:13" x14ac:dyDescent="0.25">
      <c r="A1" s="78" t="s">
        <v>1</v>
      </c>
      <c r="B1" s="78" t="s">
        <v>2</v>
      </c>
      <c r="C1" s="78" t="s">
        <v>3</v>
      </c>
      <c r="D1" s="78" t="s">
        <v>4</v>
      </c>
      <c r="E1" s="78" t="s">
        <v>44</v>
      </c>
      <c r="F1" s="93" t="s">
        <v>215</v>
      </c>
      <c r="G1" s="2" t="s">
        <v>216</v>
      </c>
      <c r="H1" s="88" t="s">
        <v>217</v>
      </c>
      <c r="I1" s="82" t="s">
        <v>9</v>
      </c>
      <c r="J1" s="82" t="s">
        <v>10</v>
      </c>
      <c r="K1" s="49" t="s">
        <v>11</v>
      </c>
      <c r="L1" s="3"/>
      <c r="M1" s="3"/>
    </row>
    <row r="2" spans="1:13" ht="15" customHeight="1" x14ac:dyDescent="0.25">
      <c r="A2" s="78" t="s">
        <v>60</v>
      </c>
      <c r="B2" s="78">
        <v>6.5</v>
      </c>
      <c r="C2" s="19">
        <v>0.8</v>
      </c>
      <c r="D2" s="19">
        <v>0.4</v>
      </c>
      <c r="E2" s="78">
        <v>0.15</v>
      </c>
      <c r="F2" s="93">
        <v>50</v>
      </c>
      <c r="G2" s="2" t="s">
        <v>218</v>
      </c>
      <c r="H2" s="89">
        <v>17150</v>
      </c>
      <c r="I2" s="81">
        <f t="shared" ref="I2:I3" si="0">H2/F2</f>
        <v>343</v>
      </c>
      <c r="J2" s="81">
        <f t="shared" ref="J2" si="1">B2*I2</f>
        <v>2229.5</v>
      </c>
      <c r="K2" s="80">
        <f t="shared" ref="K2" si="2">I2*C2*D2*E2</f>
        <v>16.464000000000002</v>
      </c>
      <c r="L2" s="3"/>
      <c r="M2" s="3"/>
    </row>
    <row r="3" spans="1:13" ht="15" customHeight="1" x14ac:dyDescent="0.25">
      <c r="A3" s="78" t="s">
        <v>55</v>
      </c>
      <c r="B3" s="78">
        <v>7</v>
      </c>
      <c r="C3" s="78">
        <v>0.86</v>
      </c>
      <c r="D3" s="78">
        <v>0.42</v>
      </c>
      <c r="E3" s="78">
        <v>0.15</v>
      </c>
      <c r="F3" s="93">
        <v>50</v>
      </c>
      <c r="G3" s="2" t="s">
        <v>218</v>
      </c>
      <c r="H3" s="89">
        <v>3000</v>
      </c>
      <c r="I3" s="81">
        <f t="shared" si="0"/>
        <v>60</v>
      </c>
      <c r="J3" s="81">
        <f>B3*I3</f>
        <v>420</v>
      </c>
      <c r="K3" s="80">
        <f>I3*C3*D3*E3</f>
        <v>3.2507999999999999</v>
      </c>
      <c r="L3" s="3"/>
      <c r="M3" s="3"/>
    </row>
    <row r="4" spans="1:13" ht="15" customHeight="1" x14ac:dyDescent="0.25">
      <c r="A4" s="78" t="s">
        <v>59</v>
      </c>
      <c r="B4" s="78">
        <v>10</v>
      </c>
      <c r="C4" s="78">
        <v>0.92</v>
      </c>
      <c r="D4" s="78">
        <v>0.48</v>
      </c>
      <c r="E4" s="78">
        <v>0.15</v>
      </c>
      <c r="F4" s="93">
        <v>50</v>
      </c>
      <c r="G4" s="2" t="s">
        <v>218</v>
      </c>
      <c r="H4" s="89">
        <v>21750</v>
      </c>
      <c r="I4" s="81">
        <f>H4/F4</f>
        <v>435</v>
      </c>
      <c r="J4" s="81">
        <f>B4*I4</f>
        <v>4350</v>
      </c>
      <c r="K4" s="80">
        <f>I4*C4*D4*E4</f>
        <v>28.814399999999999</v>
      </c>
      <c r="L4" s="3"/>
      <c r="M4" s="141"/>
    </row>
    <row r="6" spans="1:13" x14ac:dyDescent="0.25">
      <c r="I6" s="5">
        <f>SUM(I2:I4)</f>
        <v>838</v>
      </c>
      <c r="J6" s="5">
        <f>SUM(J2:J4)</f>
        <v>6999.5</v>
      </c>
      <c r="K6" s="6">
        <f>SUM(K2:K4)</f>
        <v>48.529200000000003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75E2-50F4-4FD4-B1A2-AF7DA0F63B4A}">
  <dimension ref="A1:M6"/>
  <sheetViews>
    <sheetView workbookViewId="0">
      <selection activeCell="F2" sqref="F2:G4"/>
    </sheetView>
  </sheetViews>
  <sheetFormatPr defaultRowHeight="15" x14ac:dyDescent="0.25"/>
  <cols>
    <col min="1" max="1" width="16.7109375" bestFit="1" customWidth="1"/>
    <col min="10" max="10" width="11.5703125" bestFit="1" customWidth="1"/>
  </cols>
  <sheetData>
    <row r="1" spans="1:13" x14ac:dyDescent="0.25">
      <c r="A1" s="78" t="s">
        <v>1</v>
      </c>
      <c r="B1" s="78" t="s">
        <v>2</v>
      </c>
      <c r="C1" s="78" t="s">
        <v>3</v>
      </c>
      <c r="D1" s="78" t="s">
        <v>4</v>
      </c>
      <c r="E1" s="78" t="s">
        <v>44</v>
      </c>
      <c r="F1" s="93" t="s">
        <v>215</v>
      </c>
      <c r="G1" s="2" t="s">
        <v>216</v>
      </c>
      <c r="H1" s="88" t="s">
        <v>217</v>
      </c>
      <c r="I1" s="82" t="s">
        <v>9</v>
      </c>
      <c r="J1" s="82" t="s">
        <v>10</v>
      </c>
      <c r="K1" s="49" t="s">
        <v>11</v>
      </c>
      <c r="L1" s="3"/>
      <c r="M1" s="3"/>
    </row>
    <row r="2" spans="1:13" x14ac:dyDescent="0.25">
      <c r="A2" s="78" t="s">
        <v>219</v>
      </c>
      <c r="B2" s="78">
        <v>5</v>
      </c>
      <c r="C2" s="19">
        <v>0.41</v>
      </c>
      <c r="D2" s="19">
        <v>0.35</v>
      </c>
      <c r="E2" s="78">
        <v>0.5</v>
      </c>
      <c r="F2" s="93">
        <v>100</v>
      </c>
      <c r="G2" s="2" t="s">
        <v>218</v>
      </c>
      <c r="H2" s="89">
        <v>0</v>
      </c>
      <c r="I2" s="81">
        <f>H2/F2</f>
        <v>0</v>
      </c>
      <c r="J2" s="81">
        <f>B2*I2</f>
        <v>0</v>
      </c>
      <c r="K2" s="80">
        <f>I2*C2*D2*E2</f>
        <v>0</v>
      </c>
      <c r="L2" s="3"/>
      <c r="M2" s="3"/>
    </row>
    <row r="3" spans="1:13" x14ac:dyDescent="0.25">
      <c r="A3" s="78" t="s">
        <v>220</v>
      </c>
      <c r="B3" s="78">
        <v>8</v>
      </c>
      <c r="C3" s="78">
        <v>0.65</v>
      </c>
      <c r="D3" s="78">
        <v>0.35</v>
      </c>
      <c r="E3" s="78">
        <v>0.5</v>
      </c>
      <c r="F3" s="93">
        <v>100</v>
      </c>
      <c r="G3" s="2" t="s">
        <v>218</v>
      </c>
      <c r="H3" s="89">
        <v>9000</v>
      </c>
      <c r="I3" s="81">
        <f>H3/F3</f>
        <v>90</v>
      </c>
      <c r="J3" s="81">
        <f>B3*I3</f>
        <v>720</v>
      </c>
      <c r="K3" s="80">
        <f>I3*C3*D3*E3</f>
        <v>10.237499999999999</v>
      </c>
      <c r="L3" s="3"/>
      <c r="M3" s="3"/>
    </row>
    <row r="4" spans="1:13" x14ac:dyDescent="0.25">
      <c r="A4" s="78" t="s">
        <v>221</v>
      </c>
      <c r="B4" s="78">
        <v>12</v>
      </c>
      <c r="C4" s="78">
        <v>0.65</v>
      </c>
      <c r="D4" s="78">
        <v>0.55000000000000004</v>
      </c>
      <c r="E4" s="78">
        <v>0.6</v>
      </c>
      <c r="F4" s="93">
        <v>100</v>
      </c>
      <c r="G4" s="2" t="s">
        <v>218</v>
      </c>
      <c r="H4" s="89">
        <v>7000</v>
      </c>
      <c r="I4" s="81">
        <f>H4/F4</f>
        <v>70</v>
      </c>
      <c r="J4" s="81">
        <f>B4*I4</f>
        <v>840</v>
      </c>
      <c r="K4" s="80">
        <f>I4*C4*D4*E4</f>
        <v>15.015000000000001</v>
      </c>
      <c r="L4" s="3"/>
      <c r="M4" s="141"/>
    </row>
    <row r="6" spans="1:13" x14ac:dyDescent="0.25">
      <c r="I6" s="5" t="s">
        <v>39</v>
      </c>
      <c r="J6" s="5">
        <f>SUM(J2:J4)</f>
        <v>1560</v>
      </c>
      <c r="K6" s="6">
        <f>SUM(K2:K4)</f>
        <v>25.252499999999998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4"/>
  <sheetViews>
    <sheetView workbookViewId="0">
      <selection activeCell="A2" sqref="A2:F3"/>
    </sheetView>
  </sheetViews>
  <sheetFormatPr defaultRowHeight="15" x14ac:dyDescent="0.25"/>
  <cols>
    <col min="1" max="1" width="14.140625" customWidth="1"/>
    <col min="2" max="3" width="9.140625" style="3"/>
    <col min="5" max="5" width="9.140625" style="3"/>
    <col min="12" max="12" width="9.85546875" bestFit="1" customWidth="1"/>
    <col min="14" max="14" width="15.5703125" bestFit="1" customWidth="1"/>
  </cols>
  <sheetData>
    <row r="1" spans="1:21" ht="15.75" x14ac:dyDescent="0.25">
      <c r="A1" s="219" t="s">
        <v>206</v>
      </c>
      <c r="B1" s="220"/>
      <c r="C1" s="220"/>
      <c r="D1" s="220"/>
      <c r="E1" s="220"/>
      <c r="F1" s="286"/>
      <c r="N1" s="52" t="s">
        <v>222</v>
      </c>
      <c r="O1" s="52" t="s">
        <v>223</v>
      </c>
      <c r="T1" s="3"/>
      <c r="U1" s="7"/>
    </row>
    <row r="2" spans="1:21" ht="15.75" x14ac:dyDescent="0.25">
      <c r="A2" s="15" t="s">
        <v>98</v>
      </c>
      <c r="B2" s="93">
        <v>6.5</v>
      </c>
      <c r="C2" s="93">
        <v>0.67</v>
      </c>
      <c r="D2" s="93">
        <v>0.35</v>
      </c>
      <c r="E2" s="13">
        <v>0.1</v>
      </c>
      <c r="F2" s="15">
        <v>50</v>
      </c>
      <c r="H2">
        <v>800</v>
      </c>
      <c r="I2">
        <f t="shared" ref="I2:I8" si="0">H2/F2</f>
        <v>16</v>
      </c>
      <c r="J2">
        <f t="shared" ref="J2:J8" si="1">B2*I2</f>
        <v>104</v>
      </c>
      <c r="K2">
        <f t="shared" ref="K2:K8" si="2">I2*C2*D2*E2</f>
        <v>0.37519999999999998</v>
      </c>
      <c r="T2" s="3"/>
      <c r="U2" s="7"/>
    </row>
    <row r="3" spans="1:21" ht="15.75" x14ac:dyDescent="0.25">
      <c r="A3" s="15" t="s">
        <v>207</v>
      </c>
      <c r="B3" s="93">
        <v>12</v>
      </c>
      <c r="C3" s="93">
        <v>0.67</v>
      </c>
      <c r="D3" s="93">
        <v>0.59</v>
      </c>
      <c r="E3" s="13">
        <v>0.1</v>
      </c>
      <c r="F3" s="15">
        <v>50</v>
      </c>
      <c r="H3">
        <v>1000</v>
      </c>
      <c r="I3">
        <f t="shared" si="0"/>
        <v>20</v>
      </c>
      <c r="J3">
        <f t="shared" si="1"/>
        <v>240</v>
      </c>
      <c r="K3">
        <f t="shared" si="2"/>
        <v>0.79059999999999997</v>
      </c>
      <c r="N3">
        <v>0.25</v>
      </c>
      <c r="O3">
        <v>40</v>
      </c>
      <c r="T3" s="3"/>
      <c r="U3" s="7"/>
    </row>
    <row r="4" spans="1:21" ht="15.75" x14ac:dyDescent="0.25">
      <c r="A4" s="222" t="s">
        <v>208</v>
      </c>
      <c r="B4" s="222"/>
      <c r="C4" s="222"/>
      <c r="D4" s="222"/>
      <c r="E4" s="222"/>
      <c r="F4" s="222"/>
      <c r="N4">
        <v>0.65</v>
      </c>
      <c r="O4">
        <v>106</v>
      </c>
      <c r="T4" s="3"/>
      <c r="U4" s="7"/>
    </row>
    <row r="5" spans="1:21" ht="15.75" x14ac:dyDescent="0.25">
      <c r="A5" s="22" t="s">
        <v>224</v>
      </c>
      <c r="B5" s="22">
        <v>1</v>
      </c>
      <c r="C5" s="22">
        <v>0.31</v>
      </c>
      <c r="D5" s="22">
        <v>0.19</v>
      </c>
      <c r="E5" s="22">
        <v>0.17</v>
      </c>
      <c r="F5" s="22">
        <v>100</v>
      </c>
      <c r="G5" t="s">
        <v>225</v>
      </c>
      <c r="H5" s="8">
        <v>0</v>
      </c>
      <c r="I5">
        <f t="shared" si="0"/>
        <v>0</v>
      </c>
      <c r="J5">
        <f t="shared" si="1"/>
        <v>0</v>
      </c>
      <c r="K5">
        <f t="shared" si="2"/>
        <v>0</v>
      </c>
      <c r="N5">
        <v>3.16</v>
      </c>
      <c r="O5">
        <v>208</v>
      </c>
      <c r="T5" s="3"/>
      <c r="U5" s="7"/>
    </row>
    <row r="6" spans="1:21" ht="15.75" x14ac:dyDescent="0.25">
      <c r="A6" s="22" t="s">
        <v>226</v>
      </c>
      <c r="B6" s="22">
        <v>4</v>
      </c>
      <c r="C6" s="22">
        <v>0.43</v>
      </c>
      <c r="D6" s="22">
        <v>0.35</v>
      </c>
      <c r="E6" s="22">
        <v>0.17</v>
      </c>
      <c r="F6" s="22">
        <v>100</v>
      </c>
      <c r="G6" t="s">
        <v>227</v>
      </c>
      <c r="H6" s="8">
        <v>1010</v>
      </c>
      <c r="I6">
        <f t="shared" si="0"/>
        <v>10.1</v>
      </c>
      <c r="J6">
        <f t="shared" si="1"/>
        <v>40.4</v>
      </c>
      <c r="K6">
        <f t="shared" si="2"/>
        <v>0.25840849999999999</v>
      </c>
      <c r="N6">
        <v>2.02</v>
      </c>
      <c r="O6">
        <v>330</v>
      </c>
      <c r="T6" s="3"/>
      <c r="U6" s="7"/>
    </row>
    <row r="7" spans="1:21" ht="15.75" x14ac:dyDescent="0.25">
      <c r="A7" s="53" t="s">
        <v>98</v>
      </c>
      <c r="B7" s="22">
        <v>5.5</v>
      </c>
      <c r="C7" s="22">
        <v>0.35</v>
      </c>
      <c r="D7" s="53">
        <v>0.69</v>
      </c>
      <c r="E7" s="22">
        <v>0.14000000000000001</v>
      </c>
      <c r="F7" s="53">
        <v>50</v>
      </c>
      <c r="H7" s="8">
        <v>1630</v>
      </c>
      <c r="I7">
        <f t="shared" si="0"/>
        <v>32.6</v>
      </c>
      <c r="J7">
        <f t="shared" si="1"/>
        <v>179.3</v>
      </c>
      <c r="K7">
        <f t="shared" si="2"/>
        <v>1.102206</v>
      </c>
      <c r="N7">
        <v>1.89</v>
      </c>
      <c r="O7">
        <v>308</v>
      </c>
      <c r="T7" s="3"/>
      <c r="U7" s="7"/>
    </row>
    <row r="8" spans="1:21" ht="15.75" x14ac:dyDescent="0.25">
      <c r="A8" s="53" t="s">
        <v>207</v>
      </c>
      <c r="B8" s="22">
        <v>9.5</v>
      </c>
      <c r="C8" s="22">
        <v>0.6</v>
      </c>
      <c r="D8" s="53">
        <v>0.69</v>
      </c>
      <c r="E8" s="22">
        <v>0.14000000000000001</v>
      </c>
      <c r="F8" s="53">
        <v>50</v>
      </c>
      <c r="H8" s="54">
        <v>2050</v>
      </c>
      <c r="I8">
        <f t="shared" si="0"/>
        <v>41</v>
      </c>
      <c r="J8">
        <f t="shared" si="1"/>
        <v>389.5</v>
      </c>
      <c r="K8">
        <f t="shared" si="2"/>
        <v>2.3763599999999996</v>
      </c>
      <c r="T8" s="3"/>
      <c r="U8" s="7"/>
    </row>
    <row r="9" spans="1:21" ht="15.75" x14ac:dyDescent="0.25">
      <c r="A9" s="55"/>
      <c r="B9" s="24"/>
      <c r="C9" s="24"/>
      <c r="D9" s="55"/>
      <c r="E9" s="24"/>
      <c r="F9" s="55"/>
      <c r="H9" s="51">
        <f>SUM(H5:H8)</f>
        <v>4690</v>
      </c>
      <c r="I9" s="51">
        <f t="shared" ref="I9:K9" si="3">SUM(I5:I8)</f>
        <v>83.7</v>
      </c>
      <c r="J9" s="51">
        <f t="shared" si="3"/>
        <v>609.20000000000005</v>
      </c>
      <c r="K9" s="51">
        <f t="shared" si="3"/>
        <v>3.7369744999999996</v>
      </c>
      <c r="N9">
        <f>SUM(N2:N8)</f>
        <v>7.97</v>
      </c>
      <c r="O9">
        <f>SUM(O2:O8)</f>
        <v>992</v>
      </c>
      <c r="T9" s="3"/>
      <c r="U9" s="7"/>
    </row>
    <row r="10" spans="1:21" ht="15.75" x14ac:dyDescent="0.25">
      <c r="A10" s="287" t="s">
        <v>228</v>
      </c>
      <c r="B10" s="288"/>
      <c r="C10" s="288"/>
      <c r="D10" s="288"/>
      <c r="E10" s="288"/>
      <c r="F10" s="289"/>
      <c r="T10" s="3"/>
      <c r="U10" s="7"/>
    </row>
    <row r="11" spans="1:21" ht="15.75" x14ac:dyDescent="0.25">
      <c r="A11" s="56" t="s">
        <v>229</v>
      </c>
      <c r="B11" s="57">
        <v>5</v>
      </c>
      <c r="C11" s="57">
        <v>0.37</v>
      </c>
      <c r="D11" s="57">
        <v>0.38</v>
      </c>
      <c r="E11" s="58">
        <v>0.17</v>
      </c>
      <c r="F11" s="56">
        <v>200</v>
      </c>
      <c r="G11" t="s">
        <v>230</v>
      </c>
      <c r="H11">
        <v>370</v>
      </c>
      <c r="I11" s="5">
        <f t="shared" ref="I11:I17" si="4">H11/F11</f>
        <v>1.85</v>
      </c>
      <c r="J11" s="5">
        <f t="shared" ref="J11:J17" si="5">B11*I11</f>
        <v>9.25</v>
      </c>
      <c r="K11">
        <f t="shared" ref="K11:K17" si="6">I11*C11*D11*E11</f>
        <v>4.4218700000000007E-2</v>
      </c>
      <c r="T11" s="3"/>
      <c r="U11" s="7"/>
    </row>
    <row r="12" spans="1:21" ht="15.75" x14ac:dyDescent="0.25">
      <c r="A12" s="56" t="s">
        <v>231</v>
      </c>
      <c r="B12" s="57">
        <v>4</v>
      </c>
      <c r="C12" s="57">
        <v>0.37</v>
      </c>
      <c r="D12" s="57">
        <v>0.3</v>
      </c>
      <c r="E12" s="58">
        <v>0.18</v>
      </c>
      <c r="F12" s="56">
        <v>100</v>
      </c>
      <c r="G12" t="s">
        <v>232</v>
      </c>
      <c r="H12">
        <v>200</v>
      </c>
      <c r="I12" s="5">
        <f t="shared" si="4"/>
        <v>2</v>
      </c>
      <c r="J12" s="5">
        <f t="shared" si="5"/>
        <v>8</v>
      </c>
      <c r="K12">
        <f t="shared" si="6"/>
        <v>3.9960000000000002E-2</v>
      </c>
      <c r="T12" s="3"/>
      <c r="U12" s="7"/>
    </row>
    <row r="13" spans="1:21" ht="15.75" x14ac:dyDescent="0.25">
      <c r="A13" s="56" t="s">
        <v>233</v>
      </c>
      <c r="B13" s="57">
        <v>4</v>
      </c>
      <c r="C13" s="57">
        <v>0.3</v>
      </c>
      <c r="D13" s="57">
        <v>0.6</v>
      </c>
      <c r="E13" s="58">
        <v>0.18</v>
      </c>
      <c r="F13" s="56">
        <v>100</v>
      </c>
      <c r="G13" t="s">
        <v>234</v>
      </c>
      <c r="H13">
        <v>1100</v>
      </c>
      <c r="I13" s="5">
        <f t="shared" si="4"/>
        <v>11</v>
      </c>
      <c r="J13" s="5">
        <f t="shared" si="5"/>
        <v>44</v>
      </c>
      <c r="K13">
        <f t="shared" si="6"/>
        <v>0.35639999999999994</v>
      </c>
      <c r="T13" s="3"/>
      <c r="U13" s="7"/>
    </row>
    <row r="14" spans="1:21" ht="15.75" x14ac:dyDescent="0.25">
      <c r="A14" s="56" t="s">
        <v>235</v>
      </c>
      <c r="B14" s="57">
        <v>8</v>
      </c>
      <c r="C14" s="57">
        <v>0.37</v>
      </c>
      <c r="D14" s="57">
        <v>0.65</v>
      </c>
      <c r="E14" s="58">
        <v>0.15</v>
      </c>
      <c r="F14" s="56">
        <v>50</v>
      </c>
      <c r="G14" t="s">
        <v>236</v>
      </c>
      <c r="H14">
        <v>0</v>
      </c>
      <c r="I14" s="5">
        <f t="shared" si="4"/>
        <v>0</v>
      </c>
      <c r="J14" s="5">
        <f t="shared" si="5"/>
        <v>0</v>
      </c>
      <c r="K14">
        <f t="shared" si="6"/>
        <v>0</v>
      </c>
      <c r="T14" s="3"/>
      <c r="U14" s="7"/>
    </row>
    <row r="15" spans="1:21" ht="15.75" x14ac:dyDescent="0.25">
      <c r="A15" s="56" t="s">
        <v>237</v>
      </c>
      <c r="B15" s="57">
        <v>8.5</v>
      </c>
      <c r="C15" s="57">
        <v>0.74</v>
      </c>
      <c r="D15" s="57">
        <v>0.45</v>
      </c>
      <c r="E15" s="58">
        <v>0.15</v>
      </c>
      <c r="F15" s="56">
        <v>50</v>
      </c>
      <c r="G15" t="s">
        <v>238</v>
      </c>
      <c r="H15">
        <v>450</v>
      </c>
      <c r="I15" s="5">
        <f t="shared" si="4"/>
        <v>9</v>
      </c>
      <c r="J15" s="5">
        <f t="shared" si="5"/>
        <v>76.5</v>
      </c>
      <c r="K15">
        <f t="shared" si="6"/>
        <v>0.44955000000000006</v>
      </c>
      <c r="T15" s="3"/>
      <c r="U15" s="7"/>
    </row>
    <row r="16" spans="1:21" ht="15.75" x14ac:dyDescent="0.25">
      <c r="A16" s="56" t="s">
        <v>239</v>
      </c>
      <c r="B16" s="57">
        <v>12</v>
      </c>
      <c r="C16" s="57">
        <v>0.76</v>
      </c>
      <c r="D16" s="57">
        <v>0.69</v>
      </c>
      <c r="E16" s="58">
        <v>0.15</v>
      </c>
      <c r="F16" s="56">
        <v>50</v>
      </c>
      <c r="H16">
        <v>650</v>
      </c>
      <c r="I16" s="5">
        <f t="shared" si="4"/>
        <v>13</v>
      </c>
      <c r="J16" s="5">
        <f t="shared" si="5"/>
        <v>156</v>
      </c>
      <c r="K16">
        <f t="shared" si="6"/>
        <v>1.0225799999999998</v>
      </c>
      <c r="T16" s="3"/>
      <c r="U16" s="7"/>
    </row>
    <row r="17" spans="1:23" ht="15.75" x14ac:dyDescent="0.25">
      <c r="A17" s="56" t="s">
        <v>240</v>
      </c>
      <c r="B17" s="57">
        <v>12</v>
      </c>
      <c r="C17" s="57">
        <v>0.76</v>
      </c>
      <c r="D17" s="57">
        <v>0.65</v>
      </c>
      <c r="E17" s="58">
        <v>0.15</v>
      </c>
      <c r="F17" s="56">
        <v>50</v>
      </c>
      <c r="H17">
        <v>1100</v>
      </c>
      <c r="I17" s="5">
        <f t="shared" si="4"/>
        <v>22</v>
      </c>
      <c r="J17">
        <f t="shared" si="5"/>
        <v>264</v>
      </c>
      <c r="K17">
        <f t="shared" si="6"/>
        <v>1.6302000000000001</v>
      </c>
      <c r="T17" s="3"/>
      <c r="U17" s="7"/>
    </row>
    <row r="18" spans="1:23" x14ac:dyDescent="0.25">
      <c r="A18" s="290" t="s">
        <v>241</v>
      </c>
      <c r="B18" s="290"/>
      <c r="C18" s="290"/>
      <c r="D18" s="290"/>
      <c r="E18" s="290"/>
      <c r="F18" s="290"/>
      <c r="H18">
        <f>SUM(H11:H17)</f>
        <v>3870</v>
      </c>
      <c r="I18">
        <f t="shared" ref="I18:K18" si="7">SUM(I11:I17)</f>
        <v>58.85</v>
      </c>
      <c r="J18">
        <f t="shared" si="7"/>
        <v>557.75</v>
      </c>
      <c r="K18">
        <f t="shared" si="7"/>
        <v>3.5429086999999999</v>
      </c>
    </row>
    <row r="19" spans="1:23" x14ac:dyDescent="0.25">
      <c r="A19" s="59" t="s">
        <v>242</v>
      </c>
      <c r="B19" s="94">
        <v>7</v>
      </c>
      <c r="C19" s="94">
        <v>0.53</v>
      </c>
      <c r="D19" s="59">
        <v>0.37</v>
      </c>
      <c r="E19" s="94">
        <v>0.18</v>
      </c>
      <c r="F19" s="59">
        <v>100</v>
      </c>
      <c r="I19" s="5">
        <f>H19/F19</f>
        <v>0</v>
      </c>
      <c r="J19" s="5">
        <f>B19*I19</f>
        <v>0</v>
      </c>
      <c r="K19">
        <f>I19*C19*D19*E19</f>
        <v>0</v>
      </c>
      <c r="N19" s="78" t="s">
        <v>49</v>
      </c>
      <c r="O19" s="78">
        <v>3</v>
      </c>
      <c r="P19" s="78">
        <v>0.28999999999999998</v>
      </c>
      <c r="Q19" s="78">
        <v>0.57999999999999996</v>
      </c>
      <c r="R19" s="78">
        <v>0.17</v>
      </c>
      <c r="S19" s="147">
        <v>50</v>
      </c>
    </row>
    <row r="20" spans="1:23" ht="15.75" x14ac:dyDescent="0.25">
      <c r="A20" s="64" t="s">
        <v>243</v>
      </c>
      <c r="B20" s="64">
        <v>4</v>
      </c>
      <c r="C20" s="64">
        <v>0.33</v>
      </c>
      <c r="D20" s="64">
        <v>0.63</v>
      </c>
      <c r="E20" s="64">
        <v>0.17</v>
      </c>
      <c r="F20" s="64">
        <v>50</v>
      </c>
      <c r="G20" s="18" t="s">
        <v>29</v>
      </c>
      <c r="H20" s="17">
        <v>1800</v>
      </c>
      <c r="I20" s="5">
        <f t="shared" ref="I20" si="8">H20/F20</f>
        <v>36</v>
      </c>
      <c r="J20" s="6">
        <f t="shared" ref="J20" si="9">B20*I20</f>
        <v>144</v>
      </c>
      <c r="K20">
        <f t="shared" ref="K20" si="10">I20*C20*D20*E20</f>
        <v>1.2723480000000003</v>
      </c>
      <c r="L20" s="3"/>
      <c r="M20" s="3"/>
      <c r="N20" s="78" t="s">
        <v>60</v>
      </c>
      <c r="O20" s="78">
        <v>6.5</v>
      </c>
      <c r="P20" s="19">
        <v>0.8</v>
      </c>
      <c r="Q20" s="19">
        <v>0.4</v>
      </c>
      <c r="R20" s="78">
        <v>0.15</v>
      </c>
      <c r="S20" s="147">
        <v>50</v>
      </c>
      <c r="V20" s="3"/>
      <c r="W20" s="7"/>
    </row>
    <row r="21" spans="1:23" x14ac:dyDescent="0.25">
      <c r="A21" s="59" t="s">
        <v>244</v>
      </c>
      <c r="B21" s="94">
        <v>0</v>
      </c>
      <c r="C21" s="94">
        <v>0</v>
      </c>
      <c r="D21" s="59">
        <v>0</v>
      </c>
      <c r="E21" s="94">
        <v>0</v>
      </c>
      <c r="F21" s="59">
        <v>100</v>
      </c>
      <c r="I21" s="5">
        <f>H21/F21</f>
        <v>0</v>
      </c>
      <c r="J21" s="5">
        <f>B21*I21</f>
        <v>0</v>
      </c>
      <c r="K21">
        <f t="shared" ref="K21:K33" si="11">I21*C21*D21*E21</f>
        <v>0</v>
      </c>
      <c r="N21" s="78" t="s">
        <v>59</v>
      </c>
      <c r="O21" s="78">
        <v>10</v>
      </c>
      <c r="P21" s="78">
        <v>0.92</v>
      </c>
      <c r="Q21" s="78">
        <v>0.48</v>
      </c>
      <c r="R21" s="78">
        <v>0.15</v>
      </c>
      <c r="S21" s="147">
        <v>50</v>
      </c>
    </row>
    <row r="22" spans="1:23" x14ac:dyDescent="0.25">
      <c r="A22" s="59" t="s">
        <v>98</v>
      </c>
      <c r="B22" s="94">
        <v>5</v>
      </c>
      <c r="C22" s="94">
        <v>0.72</v>
      </c>
      <c r="D22" s="59">
        <v>0.38</v>
      </c>
      <c r="E22" s="94">
        <v>0.24</v>
      </c>
      <c r="F22" s="59">
        <v>50</v>
      </c>
      <c r="G22" t="s">
        <v>245</v>
      </c>
      <c r="I22" s="5">
        <f t="shared" ref="I22:I33" si="12">H22/F22</f>
        <v>0</v>
      </c>
      <c r="J22" s="5">
        <f t="shared" ref="J22:J33" si="13">B22*I22</f>
        <v>0</v>
      </c>
      <c r="K22">
        <f t="shared" si="11"/>
        <v>0</v>
      </c>
    </row>
    <row r="23" spans="1:23" x14ac:dyDescent="0.25">
      <c r="A23" s="59" t="s">
        <v>99</v>
      </c>
      <c r="B23" s="94">
        <v>6</v>
      </c>
      <c r="C23" s="94">
        <v>0.8</v>
      </c>
      <c r="D23" s="59">
        <v>0.4</v>
      </c>
      <c r="E23" s="94">
        <v>0.15</v>
      </c>
      <c r="F23" s="59">
        <v>50</v>
      </c>
      <c r="G23" t="s">
        <v>245</v>
      </c>
      <c r="H23">
        <v>4600</v>
      </c>
      <c r="I23" s="5">
        <f t="shared" si="12"/>
        <v>92</v>
      </c>
      <c r="J23" s="5">
        <f t="shared" si="13"/>
        <v>552</v>
      </c>
      <c r="K23">
        <f t="shared" si="11"/>
        <v>4.4160000000000004</v>
      </c>
      <c r="M23" t="s">
        <v>246</v>
      </c>
    </row>
    <row r="24" spans="1:23" x14ac:dyDescent="0.25">
      <c r="A24" s="59" t="s">
        <v>247</v>
      </c>
      <c r="B24" s="94">
        <v>10</v>
      </c>
      <c r="C24" s="94">
        <v>0.92</v>
      </c>
      <c r="D24" s="59">
        <v>0.48</v>
      </c>
      <c r="E24" s="94">
        <v>0.15</v>
      </c>
      <c r="F24" s="59">
        <v>50</v>
      </c>
      <c r="G24" t="s">
        <v>245</v>
      </c>
      <c r="H24">
        <v>5050</v>
      </c>
      <c r="I24" s="5">
        <f t="shared" si="12"/>
        <v>101</v>
      </c>
      <c r="J24" s="5">
        <f t="shared" si="13"/>
        <v>1010</v>
      </c>
      <c r="K24">
        <f t="shared" si="11"/>
        <v>6.6902399999999993</v>
      </c>
    </row>
    <row r="25" spans="1:23" x14ac:dyDescent="0.25">
      <c r="A25" s="59"/>
      <c r="B25" s="94"/>
      <c r="C25" s="94"/>
      <c r="D25" s="59"/>
      <c r="E25" s="94"/>
      <c r="F25" s="59"/>
      <c r="H25">
        <f>SUM(H19:H24)</f>
        <v>11450</v>
      </c>
      <c r="I25">
        <f t="shared" ref="I25:K25" si="14">SUM(I19:I24)</f>
        <v>229</v>
      </c>
      <c r="J25">
        <f t="shared" si="14"/>
        <v>1706</v>
      </c>
      <c r="K25">
        <f t="shared" si="14"/>
        <v>12.378588000000001</v>
      </c>
    </row>
    <row r="26" spans="1:23" x14ac:dyDescent="0.25">
      <c r="A26" s="221" t="s">
        <v>83</v>
      </c>
      <c r="B26" s="222"/>
      <c r="C26" s="222"/>
      <c r="D26" s="222"/>
      <c r="E26" s="222"/>
      <c r="F26" s="223"/>
      <c r="H26" s="4"/>
      <c r="I26" s="5"/>
      <c r="J26" s="5"/>
    </row>
    <row r="27" spans="1:23" x14ac:dyDescent="0.25">
      <c r="A27" s="22" t="s">
        <v>85</v>
      </c>
      <c r="B27" s="22">
        <v>5</v>
      </c>
      <c r="C27" s="22">
        <v>0.33</v>
      </c>
      <c r="D27" s="22">
        <v>0.6</v>
      </c>
      <c r="E27" s="22">
        <v>0.17</v>
      </c>
      <c r="F27" s="22">
        <v>100</v>
      </c>
      <c r="G27" t="s">
        <v>87</v>
      </c>
      <c r="H27" s="4">
        <v>0</v>
      </c>
      <c r="I27" s="5">
        <f t="shared" si="12"/>
        <v>0</v>
      </c>
      <c r="J27" s="5">
        <f t="shared" si="13"/>
        <v>0</v>
      </c>
      <c r="K27">
        <f t="shared" si="11"/>
        <v>0</v>
      </c>
    </row>
    <row r="28" spans="1:23" x14ac:dyDescent="0.25">
      <c r="A28" s="22" t="s">
        <v>94</v>
      </c>
      <c r="B28" s="22">
        <v>5</v>
      </c>
      <c r="C28" s="22">
        <v>0.62</v>
      </c>
      <c r="D28" s="22">
        <v>0.33</v>
      </c>
      <c r="E28" s="22">
        <v>0.19</v>
      </c>
      <c r="F28" s="22">
        <v>100</v>
      </c>
      <c r="G28" t="s">
        <v>87</v>
      </c>
      <c r="H28" s="4">
        <v>3060</v>
      </c>
      <c r="I28" s="5">
        <f t="shared" si="12"/>
        <v>30.6</v>
      </c>
      <c r="J28" s="5">
        <f t="shared" si="13"/>
        <v>153</v>
      </c>
      <c r="K28">
        <f t="shared" si="11"/>
        <v>1.1895444000000002</v>
      </c>
    </row>
    <row r="29" spans="1:23" x14ac:dyDescent="0.25">
      <c r="A29" s="22" t="s">
        <v>86</v>
      </c>
      <c r="B29" s="22">
        <v>5</v>
      </c>
      <c r="C29" s="22">
        <v>0.71</v>
      </c>
      <c r="D29" s="22">
        <v>0.38</v>
      </c>
      <c r="E29" s="22">
        <v>0.15</v>
      </c>
      <c r="F29" s="22">
        <v>50</v>
      </c>
      <c r="G29" t="s">
        <v>87</v>
      </c>
      <c r="H29" s="4">
        <v>0</v>
      </c>
      <c r="I29" s="5">
        <f t="shared" si="12"/>
        <v>0</v>
      </c>
      <c r="J29" s="6">
        <f t="shared" si="13"/>
        <v>0</v>
      </c>
      <c r="K29">
        <f t="shared" si="11"/>
        <v>0</v>
      </c>
    </row>
    <row r="30" spans="1:23" x14ac:dyDescent="0.25">
      <c r="A30" s="22" t="s">
        <v>93</v>
      </c>
      <c r="B30" s="22">
        <v>6</v>
      </c>
      <c r="C30" s="22">
        <v>0.83</v>
      </c>
      <c r="D30" s="22">
        <v>0.44</v>
      </c>
      <c r="E30" s="22">
        <v>0.15</v>
      </c>
      <c r="F30" s="22">
        <v>50</v>
      </c>
      <c r="H30" s="4">
        <v>12600</v>
      </c>
      <c r="I30" s="5">
        <f t="shared" si="12"/>
        <v>252</v>
      </c>
      <c r="J30" s="6">
        <f t="shared" si="13"/>
        <v>1512</v>
      </c>
      <c r="K30">
        <f t="shared" si="11"/>
        <v>13.80456</v>
      </c>
    </row>
    <row r="31" spans="1:23" x14ac:dyDescent="0.25">
      <c r="A31" s="22" t="s">
        <v>95</v>
      </c>
      <c r="B31" s="22">
        <v>9</v>
      </c>
      <c r="C31" s="22">
        <v>0.93</v>
      </c>
      <c r="D31" s="22">
        <v>0.47</v>
      </c>
      <c r="E31" s="22">
        <v>0.15</v>
      </c>
      <c r="F31" s="22">
        <v>50</v>
      </c>
      <c r="G31" t="s">
        <v>87</v>
      </c>
      <c r="H31" s="25">
        <v>0</v>
      </c>
      <c r="I31" s="5">
        <f t="shared" si="12"/>
        <v>0</v>
      </c>
      <c r="J31" s="6">
        <f t="shared" si="13"/>
        <v>0</v>
      </c>
      <c r="K31">
        <f t="shared" si="11"/>
        <v>0</v>
      </c>
    </row>
    <row r="32" spans="1:23" x14ac:dyDescent="0.25">
      <c r="A32" s="22" t="s">
        <v>92</v>
      </c>
      <c r="B32" s="22">
        <v>8</v>
      </c>
      <c r="C32" s="22">
        <v>0.95</v>
      </c>
      <c r="D32" s="22">
        <v>0.5</v>
      </c>
      <c r="E32" s="22">
        <v>0.17</v>
      </c>
      <c r="F32" s="22">
        <v>50</v>
      </c>
      <c r="G32" t="s">
        <v>87</v>
      </c>
      <c r="H32" s="4">
        <v>783</v>
      </c>
      <c r="I32" s="5">
        <f t="shared" si="12"/>
        <v>15.66</v>
      </c>
      <c r="J32" s="6">
        <f t="shared" si="13"/>
        <v>125.28</v>
      </c>
      <c r="K32">
        <f t="shared" si="11"/>
        <v>1.264545</v>
      </c>
    </row>
    <row r="33" spans="1:11" x14ac:dyDescent="0.25">
      <c r="A33" s="22" t="s">
        <v>96</v>
      </c>
      <c r="B33" s="22">
        <v>10</v>
      </c>
      <c r="C33" s="60">
        <v>1</v>
      </c>
      <c r="D33" s="22">
        <v>0.52</v>
      </c>
      <c r="E33" s="22">
        <v>0.17</v>
      </c>
      <c r="F33" s="61">
        <v>50</v>
      </c>
      <c r="G33" s="26" t="s">
        <v>87</v>
      </c>
      <c r="H33" s="4">
        <v>5200</v>
      </c>
      <c r="I33" s="5">
        <f t="shared" si="12"/>
        <v>104</v>
      </c>
      <c r="J33" s="6">
        <f t="shared" si="13"/>
        <v>1040</v>
      </c>
      <c r="K33">
        <f t="shared" si="11"/>
        <v>9.1936</v>
      </c>
    </row>
    <row r="34" spans="1:11" x14ac:dyDescent="0.25">
      <c r="H34" s="62">
        <f>SUM(H27:H33)</f>
        <v>21643</v>
      </c>
      <c r="I34" s="62">
        <f t="shared" ref="I34:K34" si="15">SUM(I27:I33)</f>
        <v>402.26000000000005</v>
      </c>
      <c r="J34" s="62">
        <f t="shared" si="15"/>
        <v>2830.2799999999997</v>
      </c>
      <c r="K34" s="63">
        <f t="shared" si="15"/>
        <v>25.452249400000003</v>
      </c>
    </row>
  </sheetData>
  <mergeCells count="5">
    <mergeCell ref="A1:F1"/>
    <mergeCell ref="A4:F4"/>
    <mergeCell ref="A10:F10"/>
    <mergeCell ref="A18:F18"/>
    <mergeCell ref="A26:F2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58B5-6144-43F1-9D10-9923F76F9F36}">
  <dimension ref="A1:N19"/>
  <sheetViews>
    <sheetView showGridLines="0" workbookViewId="0">
      <selection activeCell="A4" sqref="A4:H8"/>
    </sheetView>
  </sheetViews>
  <sheetFormatPr defaultRowHeight="15" x14ac:dyDescent="0.25"/>
  <cols>
    <col min="1" max="1" width="15.5703125" bestFit="1" customWidth="1"/>
    <col min="2" max="2" width="5.85546875" bestFit="1" customWidth="1"/>
    <col min="3" max="3" width="6.7109375" bestFit="1" customWidth="1"/>
    <col min="4" max="4" width="5.85546875" bestFit="1" customWidth="1"/>
    <col min="5" max="5" width="8.28515625" bestFit="1" customWidth="1"/>
    <col min="6" max="6" width="6.42578125" bestFit="1" customWidth="1"/>
    <col min="7" max="7" width="7.5703125" bestFit="1" customWidth="1"/>
    <col min="8" max="8" width="9.7109375" customWidth="1"/>
    <col min="9" max="9" width="9.5703125" bestFit="1" customWidth="1"/>
    <col min="10" max="10" width="12" bestFit="1" customWidth="1"/>
    <col min="11" max="11" width="9.28515625" customWidth="1"/>
  </cols>
  <sheetData>
    <row r="1" spans="1:14" x14ac:dyDescent="0.25">
      <c r="A1" s="291" t="s">
        <v>248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</row>
    <row r="2" spans="1:14" x14ac:dyDescent="0.25">
      <c r="A2" s="291"/>
      <c r="B2" s="291"/>
      <c r="C2" s="291"/>
      <c r="D2" s="291"/>
      <c r="E2" s="291"/>
      <c r="F2" s="291"/>
      <c r="G2" s="291"/>
      <c r="H2" s="291"/>
      <c r="I2" s="291"/>
      <c r="J2" s="291"/>
      <c r="K2" s="291"/>
    </row>
    <row r="4" spans="1:14" x14ac:dyDescent="0.25">
      <c r="A4" s="93" t="s">
        <v>1</v>
      </c>
      <c r="B4" s="93" t="s">
        <v>2</v>
      </c>
      <c r="C4" s="93" t="s">
        <v>3</v>
      </c>
      <c r="D4" s="93" t="s">
        <v>4</v>
      </c>
      <c r="E4" s="93" t="s">
        <v>5</v>
      </c>
      <c r="F4" s="93" t="s">
        <v>6</v>
      </c>
      <c r="G4" s="2" t="s">
        <v>7</v>
      </c>
      <c r="H4" s="88" t="s">
        <v>8</v>
      </c>
      <c r="I4" s="82" t="s">
        <v>9</v>
      </c>
      <c r="J4" s="82" t="s">
        <v>10</v>
      </c>
      <c r="K4" s="71" t="s">
        <v>11</v>
      </c>
      <c r="L4" s="18" t="s">
        <v>288</v>
      </c>
      <c r="M4" s="18" t="s">
        <v>286</v>
      </c>
      <c r="N4" t="s">
        <v>293</v>
      </c>
    </row>
    <row r="5" spans="1:14" x14ac:dyDescent="0.25">
      <c r="A5" s="93" t="s">
        <v>17</v>
      </c>
      <c r="B5" s="93">
        <v>6</v>
      </c>
      <c r="C5" s="93">
        <v>0.56999999999999995</v>
      </c>
      <c r="D5" s="93">
        <v>0.45</v>
      </c>
      <c r="E5" s="93">
        <v>0.17</v>
      </c>
      <c r="F5" s="93">
        <v>50</v>
      </c>
      <c r="G5" s="2"/>
      <c r="H5" s="89">
        <v>20000</v>
      </c>
      <c r="I5" s="81">
        <f>H5/F5</f>
        <v>400</v>
      </c>
      <c r="J5" s="81">
        <f>B5*I5</f>
        <v>2400</v>
      </c>
      <c r="K5" s="80">
        <f>I5*C5*D5*E5</f>
        <v>17.442</v>
      </c>
      <c r="L5" s="3">
        <f>+I5*B5</f>
        <v>2400</v>
      </c>
      <c r="M5" s="149">
        <f>+C5*D5*E5*H5/F5</f>
        <v>17.442000000000004</v>
      </c>
      <c r="N5">
        <f>+M5*300</f>
        <v>5232.6000000000013</v>
      </c>
    </row>
    <row r="6" spans="1:14" x14ac:dyDescent="0.25">
      <c r="A6" s="93" t="s">
        <v>249</v>
      </c>
      <c r="B6" s="93">
        <v>8</v>
      </c>
      <c r="C6" s="93">
        <v>0.67</v>
      </c>
      <c r="D6" s="93">
        <v>0.7</v>
      </c>
      <c r="E6" s="93">
        <v>0.17</v>
      </c>
      <c r="F6" s="93">
        <v>50</v>
      </c>
      <c r="G6" s="2"/>
      <c r="H6" s="89">
        <v>30000</v>
      </c>
      <c r="I6" s="81">
        <f>H6/F6</f>
        <v>600</v>
      </c>
      <c r="J6" s="81">
        <f>B6*I6</f>
        <v>4800</v>
      </c>
      <c r="K6" s="80">
        <f>I6*C6*D6*E6</f>
        <v>47.838000000000001</v>
      </c>
      <c r="L6" s="3">
        <f t="shared" ref="L6:L8" si="0">+I6*B6</f>
        <v>4800</v>
      </c>
      <c r="M6" s="149">
        <f t="shared" ref="M6:M8" si="1">+C6*D6*E6*H6/F6</f>
        <v>47.837999999999994</v>
      </c>
      <c r="N6">
        <f t="shared" ref="N6:N8" si="2">+M6*300</f>
        <v>14351.399999999998</v>
      </c>
    </row>
    <row r="7" spans="1:14" x14ac:dyDescent="0.25">
      <c r="A7" s="93" t="s">
        <v>250</v>
      </c>
      <c r="B7" s="93">
        <v>7</v>
      </c>
      <c r="C7" s="93">
        <v>0.56000000000000005</v>
      </c>
      <c r="D7" s="93">
        <v>0.65</v>
      </c>
      <c r="E7" s="93">
        <v>0.17</v>
      </c>
      <c r="F7" s="93">
        <v>50</v>
      </c>
      <c r="G7" s="2"/>
      <c r="H7" s="89">
        <v>20000</v>
      </c>
      <c r="I7" s="81">
        <f>H7/F7</f>
        <v>400</v>
      </c>
      <c r="J7" s="81">
        <f>B7*I7</f>
        <v>2800</v>
      </c>
      <c r="K7" s="80">
        <f>I7*C7*D7*E7</f>
        <v>24.752000000000006</v>
      </c>
      <c r="L7" s="3">
        <f t="shared" si="0"/>
        <v>2800</v>
      </c>
      <c r="M7" s="149">
        <f t="shared" si="1"/>
        <v>24.752000000000002</v>
      </c>
      <c r="N7">
        <f t="shared" si="2"/>
        <v>7425.6</v>
      </c>
    </row>
    <row r="8" spans="1:14" x14ac:dyDescent="0.25">
      <c r="A8" s="22" t="s">
        <v>92</v>
      </c>
      <c r="B8" s="22">
        <v>8</v>
      </c>
      <c r="C8" s="22">
        <v>0.95</v>
      </c>
      <c r="D8" s="22">
        <v>0.5</v>
      </c>
      <c r="E8" s="22">
        <v>0.17</v>
      </c>
      <c r="F8" s="22">
        <v>50</v>
      </c>
      <c r="G8" s="2" t="s">
        <v>87</v>
      </c>
      <c r="H8" s="89">
        <v>30000</v>
      </c>
      <c r="I8" s="81">
        <f t="shared" ref="I8" si="3">H8/F8</f>
        <v>600</v>
      </c>
      <c r="J8" s="81">
        <f>B8*I8</f>
        <v>4800</v>
      </c>
      <c r="K8" s="80">
        <f>I8*C8*D8*E8</f>
        <v>48.45</v>
      </c>
      <c r="L8" s="3">
        <f t="shared" si="0"/>
        <v>4800</v>
      </c>
      <c r="M8" s="149">
        <f t="shared" si="1"/>
        <v>48.45</v>
      </c>
      <c r="N8">
        <f t="shared" si="2"/>
        <v>14535</v>
      </c>
    </row>
    <row r="10" spans="1:14" x14ac:dyDescent="0.25">
      <c r="H10" s="143" t="s">
        <v>61</v>
      </c>
      <c r="I10" s="144">
        <f>SUM(I5:I8)</f>
        <v>2000</v>
      </c>
      <c r="J10" s="145">
        <f>SUM(J5:J8)</f>
        <v>14800</v>
      </c>
      <c r="K10" s="146">
        <f>SUM(K5:K8)</f>
        <v>138.48200000000003</v>
      </c>
    </row>
    <row r="13" spans="1:14" x14ac:dyDescent="0.25">
      <c r="A13" s="143" t="s">
        <v>251</v>
      </c>
      <c r="B13" s="143"/>
      <c r="C13" s="143"/>
      <c r="D13" s="143"/>
      <c r="E13" s="143"/>
    </row>
    <row r="14" spans="1:14" x14ac:dyDescent="0.25">
      <c r="A14" s="143"/>
      <c r="B14" s="143"/>
      <c r="C14" s="143"/>
      <c r="D14" s="143"/>
      <c r="E14" s="143"/>
    </row>
    <row r="15" spans="1:14" x14ac:dyDescent="0.25">
      <c r="A15" s="143" t="s">
        <v>252</v>
      </c>
      <c r="B15" s="143"/>
      <c r="C15" s="143"/>
      <c r="D15" s="143"/>
      <c r="E15" s="143"/>
    </row>
    <row r="16" spans="1:14" x14ac:dyDescent="0.25">
      <c r="A16" s="143"/>
      <c r="B16" s="143"/>
      <c r="C16" s="143"/>
      <c r="D16" s="143"/>
      <c r="E16" s="143"/>
    </row>
    <row r="17" spans="1:5" x14ac:dyDescent="0.25">
      <c r="A17" s="143" t="s">
        <v>253</v>
      </c>
      <c r="B17" s="143"/>
      <c r="C17" s="143"/>
      <c r="D17" s="143"/>
      <c r="E17" s="143"/>
    </row>
    <row r="19" spans="1:5" x14ac:dyDescent="0.25">
      <c r="A19" s="143" t="s">
        <v>254</v>
      </c>
    </row>
  </sheetData>
  <mergeCells count="1">
    <mergeCell ref="A1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D2C8-83C0-44F5-8138-B2E73521E824}">
  <dimension ref="A1:E24"/>
  <sheetViews>
    <sheetView showGridLines="0" zoomScaleNormal="60" zoomScaleSheetLayoutView="100" workbookViewId="0">
      <selection activeCell="N19" sqref="M19:N20"/>
    </sheetView>
  </sheetViews>
  <sheetFormatPr defaultRowHeight="15" x14ac:dyDescent="0.25"/>
  <sheetData>
    <row r="1" spans="1:5" x14ac:dyDescent="0.25">
      <c r="A1" t="s">
        <v>255</v>
      </c>
      <c r="E1" t="s">
        <v>256</v>
      </c>
    </row>
    <row r="2" spans="1:5" x14ac:dyDescent="0.25">
      <c r="E2" t="s">
        <v>257</v>
      </c>
    </row>
    <row r="6" spans="1:5" x14ac:dyDescent="0.25">
      <c r="A6" t="s">
        <v>258</v>
      </c>
      <c r="E6" t="s">
        <v>259</v>
      </c>
    </row>
    <row r="7" spans="1:5" x14ac:dyDescent="0.25">
      <c r="A7" t="s">
        <v>260</v>
      </c>
      <c r="E7" t="s">
        <v>261</v>
      </c>
    </row>
    <row r="8" spans="1:5" x14ac:dyDescent="0.25">
      <c r="A8" t="s">
        <v>262</v>
      </c>
      <c r="E8" t="s">
        <v>263</v>
      </c>
    </row>
    <row r="9" spans="1:5" x14ac:dyDescent="0.25">
      <c r="A9" t="s">
        <v>264</v>
      </c>
      <c r="E9" t="s">
        <v>264</v>
      </c>
    </row>
    <row r="11" spans="1:5" x14ac:dyDescent="0.25">
      <c r="A11" t="s">
        <v>265</v>
      </c>
      <c r="E11" t="s">
        <v>259</v>
      </c>
    </row>
    <row r="12" spans="1:5" x14ac:dyDescent="0.25">
      <c r="A12" t="s">
        <v>266</v>
      </c>
      <c r="E12" t="s">
        <v>267</v>
      </c>
    </row>
    <row r="13" spans="1:5" x14ac:dyDescent="0.25">
      <c r="A13" t="s">
        <v>268</v>
      </c>
      <c r="E13" t="s">
        <v>269</v>
      </c>
    </row>
    <row r="14" spans="1:5" x14ac:dyDescent="0.25">
      <c r="A14" t="s">
        <v>270</v>
      </c>
      <c r="E14" t="s">
        <v>271</v>
      </c>
    </row>
    <row r="16" spans="1:5" x14ac:dyDescent="0.25">
      <c r="A16" t="s">
        <v>272</v>
      </c>
      <c r="E16" t="s">
        <v>273</v>
      </c>
    </row>
    <row r="17" spans="1:5" x14ac:dyDescent="0.25">
      <c r="A17" t="s">
        <v>274</v>
      </c>
      <c r="E17" t="s">
        <v>275</v>
      </c>
    </row>
    <row r="18" spans="1:5" x14ac:dyDescent="0.25">
      <c r="A18" t="s">
        <v>276</v>
      </c>
      <c r="E18" t="s">
        <v>277</v>
      </c>
    </row>
    <row r="19" spans="1:5" x14ac:dyDescent="0.25">
      <c r="A19" t="s">
        <v>278</v>
      </c>
      <c r="E19" t="s">
        <v>279</v>
      </c>
    </row>
    <row r="21" spans="1:5" x14ac:dyDescent="0.25">
      <c r="A21" t="s">
        <v>280</v>
      </c>
      <c r="E21" t="s">
        <v>281</v>
      </c>
    </row>
    <row r="22" spans="1:5" x14ac:dyDescent="0.25">
      <c r="A22" t="s">
        <v>282</v>
      </c>
      <c r="E22" t="s">
        <v>257</v>
      </c>
    </row>
    <row r="23" spans="1:5" x14ac:dyDescent="0.25">
      <c r="A23" t="s">
        <v>283</v>
      </c>
      <c r="E23" t="s">
        <v>284</v>
      </c>
    </row>
    <row r="24" spans="1:5" x14ac:dyDescent="0.25">
      <c r="A24" t="s">
        <v>285</v>
      </c>
      <c r="E24" t="s">
        <v>264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produtos</vt:lpstr>
      <vt:lpstr>Tabela</vt:lpstr>
      <vt:lpstr>Forneria Original</vt:lpstr>
      <vt:lpstr>Suburbanos</vt:lpstr>
      <vt:lpstr>Hashtag</vt:lpstr>
      <vt:lpstr>Rão</vt:lpstr>
      <vt:lpstr>Planilha2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Vendas 4</dc:creator>
  <cp:keywords/>
  <dc:description>SENHA = GILMAR</dc:description>
  <cp:lastModifiedBy>Marisa Endruveit</cp:lastModifiedBy>
  <cp:revision/>
  <dcterms:created xsi:type="dcterms:W3CDTF">2020-08-05T11:07:54Z</dcterms:created>
  <dcterms:modified xsi:type="dcterms:W3CDTF">2024-12-08T18:41:27Z</dcterms:modified>
  <cp:category/>
  <cp:contentStatus/>
</cp:coreProperties>
</file>