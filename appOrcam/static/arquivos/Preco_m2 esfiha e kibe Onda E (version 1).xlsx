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cuments\GitHub\Dj_srcx_Orcamento\appOrcam\static\arquivos\"/>
    </mc:Choice>
  </mc:AlternateContent>
  <xr:revisionPtr revIDLastSave="0" documentId="13_ncr:2001_{67104773-8CEF-4B4D-AC58-7EBB2617B750}" xr6:coauthVersionLast="47" xr6:coauthVersionMax="47" xr10:uidLastSave="{00000000-0000-0000-0000-000000000000}"/>
  <bookViews>
    <workbookView xWindow="28680" yWindow="-120" windowWidth="29040" windowHeight="15840" activeTab="1" xr2:uid="{67754E85-EF51-4CB9-B61E-3CED47B47D87}"/>
  </bookViews>
  <sheets>
    <sheet name="Preco_m2 esfiha e kibe Onda E" sheetId="1" r:id="rId1"/>
    <sheet name="Calculos Referencia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H17" i="2" s="1"/>
  <c r="C17" i="2"/>
  <c r="M43" i="2"/>
  <c r="M39" i="2"/>
  <c r="M29" i="2"/>
  <c r="H30" i="2"/>
  <c r="I30" i="2" s="1"/>
  <c r="J30" i="2" s="1"/>
  <c r="K30" i="2" s="1"/>
  <c r="C30" i="2"/>
  <c r="D30" i="2" s="1"/>
  <c r="H28" i="2"/>
  <c r="H45" i="2" s="1"/>
  <c r="C28" i="2"/>
  <c r="H24" i="2" s="1"/>
  <c r="E35" i="2"/>
  <c r="F35" i="2" s="1"/>
  <c r="H35" i="2"/>
  <c r="I35" i="2" s="1"/>
  <c r="C35" i="2"/>
  <c r="D35" i="2" s="1"/>
  <c r="P8" i="2"/>
  <c r="J8" i="2" s="1"/>
  <c r="P7" i="2"/>
  <c r="J7" i="2" s="1"/>
  <c r="P6" i="2"/>
  <c r="P5" i="2"/>
  <c r="J5" i="2" s="1"/>
  <c r="P4" i="2"/>
  <c r="J4" i="2" s="1"/>
  <c r="G16" i="1"/>
  <c r="J16" i="1" s="1"/>
  <c r="G17" i="1"/>
  <c r="J17" i="1" s="1"/>
  <c r="G18" i="1"/>
  <c r="J18" i="1" s="1"/>
  <c r="G19" i="1"/>
  <c r="J19" i="1" s="1"/>
  <c r="G9" i="1"/>
  <c r="G10" i="1"/>
  <c r="G11" i="1"/>
  <c r="R4" i="1" s="1" a="1"/>
  <c r="G12" i="1"/>
  <c r="O4" i="1" s="1" a="1"/>
  <c r="G13" i="1"/>
  <c r="G8" i="1"/>
  <c r="P4" i="1" s="1" a="1"/>
  <c r="P4" i="1" s="1"/>
  <c r="P11" i="1" s="1"/>
  <c r="P18" i="1" s="1"/>
  <c r="P25" i="1" s="1"/>
  <c r="G3" i="1"/>
  <c r="H3" i="1" s="1"/>
  <c r="G4" i="1"/>
  <c r="H4" i="1" s="1"/>
  <c r="G5" i="1"/>
  <c r="H5" i="1" s="1"/>
  <c r="G6" i="1"/>
  <c r="H6" i="1" s="1"/>
  <c r="G2" i="1"/>
  <c r="H2" i="1" s="1"/>
  <c r="C24" i="2" l="1"/>
  <c r="D28" i="2"/>
  <c r="E28" i="2" s="1"/>
  <c r="F28" i="2" s="1"/>
  <c r="C45" i="2"/>
  <c r="M28" i="2"/>
  <c r="E30" i="2"/>
  <c r="F30" i="2" s="1"/>
  <c r="H21" i="2"/>
  <c r="C46" i="2"/>
  <c r="C36" i="2"/>
  <c r="H46" i="2"/>
  <c r="H47" i="2"/>
  <c r="I28" i="2"/>
  <c r="J28" i="2" s="1"/>
  <c r="K28" i="2" s="1"/>
  <c r="J35" i="2"/>
  <c r="K35" i="2" s="1"/>
  <c r="H36" i="2" s="1"/>
  <c r="M36" i="2" s="1"/>
  <c r="C47" i="2"/>
  <c r="C21" i="2"/>
  <c r="J6" i="2"/>
  <c r="O4" i="1"/>
  <c r="O11" i="1" s="1"/>
  <c r="O18" i="1" s="1"/>
  <c r="O25" i="1" s="1"/>
  <c r="O12" i="1"/>
  <c r="O19" i="1" s="1"/>
  <c r="O26" i="1" s="1"/>
  <c r="O14" i="1"/>
  <c r="O21" i="1" s="1"/>
  <c r="O28" i="1" s="1"/>
  <c r="O16" i="1"/>
  <c r="O23" i="1" s="1"/>
  <c r="O30" i="1" s="1"/>
  <c r="O13" i="1"/>
  <c r="O20" i="1" s="1"/>
  <c r="O27" i="1" s="1"/>
  <c r="O15" i="1"/>
  <c r="O22" i="1" s="1"/>
  <c r="O29" i="1" s="1"/>
  <c r="R4" i="1"/>
  <c r="R11" i="1" s="1"/>
  <c r="R18" i="1" s="1"/>
  <c r="R25" i="1" s="1"/>
  <c r="R13" i="1"/>
  <c r="R20" i="1" s="1"/>
  <c r="R27" i="1" s="1"/>
  <c r="R12" i="1"/>
  <c r="R19" i="1" s="1"/>
  <c r="R26" i="1" s="1"/>
  <c r="R14" i="1"/>
  <c r="R21" i="1" s="1"/>
  <c r="R28" i="1" s="1"/>
  <c r="R16" i="1"/>
  <c r="R23" i="1" s="1"/>
  <c r="R30" i="1" s="1"/>
  <c r="R15" i="1"/>
  <c r="R22" i="1" s="1"/>
  <c r="R29" i="1" s="1"/>
  <c r="N4" i="1" a="1"/>
  <c r="N4" i="1" s="1"/>
  <c r="N11" i="1" s="1"/>
  <c r="N18" i="1" s="1"/>
  <c r="N25" i="1" s="1"/>
  <c r="Q4" i="1" a="1"/>
  <c r="Q4" i="1" s="1"/>
  <c r="Q11" i="1" s="1"/>
  <c r="Q18" i="1" s="1"/>
  <c r="Q25" i="1" s="1"/>
  <c r="P16" i="1"/>
  <c r="P23" i="1" s="1"/>
  <c r="P30" i="1" s="1"/>
  <c r="P15" i="1"/>
  <c r="P22" i="1" s="1"/>
  <c r="P29" i="1" s="1"/>
  <c r="P14" i="1"/>
  <c r="P21" i="1" s="1"/>
  <c r="P28" i="1" s="1"/>
  <c r="P13" i="1"/>
  <c r="P20" i="1" s="1"/>
  <c r="P27" i="1" s="1"/>
  <c r="P12" i="1"/>
  <c r="P19" i="1" s="1"/>
  <c r="P26" i="1" s="1"/>
  <c r="L29" i="2" l="1"/>
  <c r="M31" i="2" s="1"/>
  <c r="H31" i="2"/>
  <c r="C31" i="2"/>
  <c r="N15" i="1"/>
  <c r="N22" i="1" s="1"/>
  <c r="N29" i="1" s="1"/>
  <c r="Q14" i="1"/>
  <c r="Q21" i="1" s="1"/>
  <c r="Q28" i="1" s="1"/>
  <c r="N14" i="1"/>
  <c r="N21" i="1" s="1"/>
  <c r="N28" i="1" s="1"/>
  <c r="Q16" i="1"/>
  <c r="Q23" i="1" s="1"/>
  <c r="Q30" i="1" s="1"/>
  <c r="N13" i="1"/>
  <c r="N20" i="1" s="1"/>
  <c r="N27" i="1" s="1"/>
  <c r="Q13" i="1"/>
  <c r="Q20" i="1" s="1"/>
  <c r="Q27" i="1" s="1"/>
  <c r="N16" i="1"/>
  <c r="N23" i="1" s="1"/>
  <c r="N30" i="1" s="1"/>
  <c r="Q12" i="1"/>
  <c r="Q19" i="1" s="1"/>
  <c r="Q26" i="1" s="1"/>
  <c r="N12" i="1"/>
  <c r="N19" i="1" s="1"/>
  <c r="N26" i="1" s="1"/>
  <c r="Q15" i="1"/>
  <c r="Q22" i="1" s="1"/>
  <c r="Q29" i="1" s="1"/>
  <c r="H41" i="2" l="1"/>
  <c r="H48" i="2" s="1"/>
  <c r="H37" i="2"/>
  <c r="C41" i="2"/>
  <c r="C48" i="2" s="1"/>
  <c r="C37" i="2"/>
  <c r="M41" i="2"/>
  <c r="M48" i="2" s="1"/>
  <c r="L49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<sst xmlns="http://schemas.openxmlformats.org/spreadsheetml/2006/main" count="143" uniqueCount="53">
  <si>
    <t>id</t>
  </si>
  <si>
    <t>nome</t>
  </si>
  <si>
    <t>largura_cm</t>
  </si>
  <si>
    <t>comprimento_cm</t>
  </si>
  <si>
    <t>tipo_papelao</t>
  </si>
  <si>
    <t>custo_m2</t>
  </si>
  <si>
    <t>Caixa 25 - Chapa 35x70</t>
  </si>
  <si>
    <t>Onda B</t>
  </si>
  <si>
    <t>Caixa 30 - Chapa 40x80</t>
  </si>
  <si>
    <t>Caixa 35 - Chapa 45x90</t>
  </si>
  <si>
    <t>Caixa 40 - Chapa 50x100</t>
  </si>
  <si>
    <t>Caixa 45 - Chapa 55x110</t>
  </si>
  <si>
    <t>área</t>
  </si>
  <si>
    <t>esfiha peq_ 13x13</t>
  </si>
  <si>
    <t>esfiha média_25x25</t>
  </si>
  <si>
    <t>esfiha média_27x27</t>
  </si>
  <si>
    <t>esfiha grande_30x30</t>
  </si>
  <si>
    <t>kibe_media_15x10</t>
  </si>
  <si>
    <t>kibe_grande_20x15</t>
  </si>
  <si>
    <t>Onda E</t>
  </si>
  <si>
    <t>kit 50 un</t>
  </si>
  <si>
    <t>R$_m2</t>
  </si>
  <si>
    <t>R$ kit</t>
  </si>
  <si>
    <t>Mercado Livre Onda E kibe e esfiha</t>
  </si>
  <si>
    <t>área útil</t>
  </si>
  <si>
    <t>perdas</t>
  </si>
  <si>
    <t>Pizza _ Caixa 25</t>
  </si>
  <si>
    <t>Pizza _ Caixa 30</t>
  </si>
  <si>
    <t>Pizza _ Caixa 35</t>
  </si>
  <si>
    <t>Pizza _ Caixa 40</t>
  </si>
  <si>
    <t>Pizza _ Caixa 45</t>
  </si>
  <si>
    <t>chapa</t>
  </si>
  <si>
    <t>produto</t>
  </si>
  <si>
    <t>id_chapa</t>
  </si>
  <si>
    <t>un_chapa</t>
  </si>
  <si>
    <t>papelao</t>
  </si>
  <si>
    <t>id_papelao</t>
  </si>
  <si>
    <t xml:space="preserve"> </t>
  </si>
  <si>
    <t>bordas pinças cm</t>
  </si>
  <si>
    <t>área_m2</t>
  </si>
  <si>
    <t>Flexo</t>
  </si>
  <si>
    <t>Wonder 1</t>
  </si>
  <si>
    <t>Wonder 2</t>
  </si>
  <si>
    <t>Century</t>
  </si>
  <si>
    <t>Seladora</t>
  </si>
  <si>
    <t>Boca de Sapo</t>
  </si>
  <si>
    <t>Custo/min</t>
  </si>
  <si>
    <t>Capac_nominal</t>
  </si>
  <si>
    <t>Custos de materiais</t>
  </si>
  <si>
    <t>chapa/hora</t>
  </si>
  <si>
    <t>Custos de impressão + Corte</t>
  </si>
  <si>
    <t xml:space="preserve">                  </t>
  </si>
  <si>
    <t>Custos Unitários de materiais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</si>
</sst>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0\ &quot;     unid/chapa&quot;\ "/>
    <numFmt numFmtId="166" formatCode="&quot;Pedido: &quot;\ #,##0\ &quot;unidades&quot;"/>
    <numFmt numFmtId="167" formatCode="\ #,##0\ &quot;unidades/chapa&quot;"/>
    <numFmt numFmtId="168" formatCode="&quot;R$&quot;\ #,##0.00"/>
    <numFmt numFmtId="169" formatCode="&quot;R$&quot;\ #,##0.00\ &quot;papel por unidade&quot;"/>
    <numFmt numFmtId="170" formatCode="&quot;R$&quot;\ #,##0.00\ &quot;tinta por unidade&quot;"/>
    <numFmt numFmtId="171" formatCode="&quot;R$&quot;\ #,##0.00\ &quot;materiais por unidade&quot;"/>
    <numFmt numFmtId="172" formatCode="0\ &quot;min/h&quot;"/>
    <numFmt numFmtId="173" formatCode="_-* #,##0_-;\-* #,##0_-;_-* &quot;-&quot;??_-;_-@_-"/>
    <numFmt numFmtId="174" formatCode="0.00\ &quot;min/chapa&quot;"/>
    <numFmt numFmtId="175" formatCode="&quot;R$&quot;\ #,##0.00\ &quot;por chapa&quot;"/>
    <numFmt numFmtId="176" formatCode="&quot;R$&quot;\ #,##0.00\ &quot;por unidade&quot;"/>
    <numFmt numFmtId="177" formatCode="&quot;R$&quot;\ #,##0.00\ &quot;impressao + corte por unidade&quot;"/>
    <numFmt numFmtId="178" formatCode="&quot;R$&quot;\ #,##0.00\ &quot;frete por unidade&quot;"/>
    <numFmt numFmtId="179" formatCode="&quot;R$&quot;\ #,##0.00\ &quot;preço sem margem por unidade&quot;"/>
    <numFmt numFmtId="180" formatCode="&quot;Markup sobre custos: &quot;0%"/>
    <numFmt numFmtId="181" formatCode="&quot;R$&quot;\ #,##0.00\ &quot;preço final com margem por unidade&quot;"/>
    <numFmt numFmtId="182" formatCode="&quot;R$&quot;\ #,##0.000\ &quot;por chapa&quot;"/>
    <numFmt numFmtId="184" formatCode="&quot;R$&quot;\ #,##0.000\ &quot;seladora&quot;"/>
    <numFmt numFmtId="186" formatCode="#,##0\ &quot;unidades&quot;"/>
    <numFmt numFmtId="187" formatCode="&quot;Csuto de fabricação: &quot;\ &quot;R$&quot;\ 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33" borderId="10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33" borderId="2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1" xfId="0" applyBorder="1"/>
    <xf numFmtId="166" fontId="0" fillId="0" borderId="0" xfId="0" applyNumberFormat="1"/>
    <xf numFmtId="168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173" fontId="0" fillId="0" borderId="0" xfId="1" applyNumberFormat="1" applyFont="1"/>
    <xf numFmtId="0" fontId="0" fillId="33" borderId="0" xfId="0" applyFill="1" applyAlignment="1">
      <alignment horizontal="center" vertical="center" textRotation="90"/>
    </xf>
    <xf numFmtId="0" fontId="20" fillId="33" borderId="19" xfId="0" applyFont="1" applyFill="1" applyBorder="1" applyAlignment="1">
      <alignment horizontal="center"/>
    </xf>
    <xf numFmtId="0" fontId="20" fillId="33" borderId="20" xfId="0" applyFont="1" applyFill="1" applyBorder="1" applyAlignment="1">
      <alignment horizontal="center"/>
    </xf>
    <xf numFmtId="170" fontId="0" fillId="0" borderId="16" xfId="0" applyNumberFormat="1" applyBorder="1" applyAlignment="1">
      <alignment horizontal="left"/>
    </xf>
    <xf numFmtId="170" fontId="0" fillId="0" borderId="17" xfId="0" applyNumberFormat="1" applyBorder="1" applyAlignment="1">
      <alignment horizontal="left"/>
    </xf>
    <xf numFmtId="169" fontId="0" fillId="0" borderId="14" xfId="0" applyNumberFormat="1" applyBorder="1" applyAlignment="1">
      <alignment horizontal="left"/>
    </xf>
    <xf numFmtId="169" fontId="0" fillId="0" borderId="15" xfId="0" applyNumberFormat="1" applyBorder="1" applyAlignment="1">
      <alignment horizontal="left"/>
    </xf>
    <xf numFmtId="171" fontId="19" fillId="33" borderId="19" xfId="0" applyNumberFormat="1" applyFont="1" applyFill="1" applyBorder="1" applyAlignment="1">
      <alignment horizontal="left"/>
    </xf>
    <xf numFmtId="171" fontId="19" fillId="33" borderId="20" xfId="0" applyNumberFormat="1" applyFont="1" applyFill="1" applyBorder="1" applyAlignment="1">
      <alignment horizontal="left"/>
    </xf>
    <xf numFmtId="0" fontId="20" fillId="33" borderId="14" xfId="0" applyFont="1" applyFill="1" applyBorder="1" applyAlignment="1">
      <alignment horizontal="center"/>
    </xf>
    <xf numFmtId="0" fontId="20" fillId="33" borderId="21" xfId="0" applyFont="1" applyFill="1" applyBorder="1" applyAlignment="1">
      <alignment horizontal="center"/>
    </xf>
    <xf numFmtId="0" fontId="20" fillId="33" borderId="15" xfId="0" applyFont="1" applyFill="1" applyBorder="1" applyAlignment="1">
      <alignment horizontal="center"/>
    </xf>
    <xf numFmtId="0" fontId="0" fillId="0" borderId="16" xfId="0" applyBorder="1"/>
    <xf numFmtId="0" fontId="0" fillId="0" borderId="0" xfId="0" applyBorder="1"/>
    <xf numFmtId="0" fontId="0" fillId="0" borderId="17" xfId="0" applyBorder="1"/>
    <xf numFmtId="174" fontId="0" fillId="0" borderId="0" xfId="0" applyNumberFormat="1" applyBorder="1" applyAlignment="1">
      <alignment horizontal="center"/>
    </xf>
    <xf numFmtId="175" fontId="0" fillId="0" borderId="0" xfId="0" applyNumberFormat="1" applyBorder="1" applyAlignment="1">
      <alignment horizontal="center"/>
    </xf>
    <xf numFmtId="176" fontId="0" fillId="0" borderId="17" xfId="0" applyNumberFormat="1" applyBorder="1" applyAlignment="1">
      <alignment horizontal="center"/>
    </xf>
    <xf numFmtId="174" fontId="0" fillId="0" borderId="23" xfId="0" applyNumberFormat="1" applyBorder="1" applyAlignment="1">
      <alignment horizontal="center"/>
    </xf>
    <xf numFmtId="176" fontId="0" fillId="0" borderId="18" xfId="0" applyNumberFormat="1" applyBorder="1" applyAlignment="1">
      <alignment horizontal="center"/>
    </xf>
    <xf numFmtId="0" fontId="0" fillId="33" borderId="24" xfId="0" applyFill="1" applyBorder="1"/>
    <xf numFmtId="0" fontId="0" fillId="33" borderId="20" xfId="0" applyFill="1" applyBorder="1"/>
    <xf numFmtId="177" fontId="19" fillId="33" borderId="19" xfId="0" applyNumberFormat="1" applyFont="1" applyFill="1" applyBorder="1" applyAlignment="1">
      <alignment horizontal="left"/>
    </xf>
    <xf numFmtId="177" fontId="19" fillId="33" borderId="24" xfId="0" applyNumberFormat="1" applyFont="1" applyFill="1" applyBorder="1" applyAlignment="1">
      <alignment horizontal="left"/>
    </xf>
    <xf numFmtId="178" fontId="0" fillId="0" borderId="0" xfId="0" applyNumberFormat="1"/>
    <xf numFmtId="178" fontId="16" fillId="33" borderId="19" xfId="0" applyNumberFormat="1" applyFont="1" applyFill="1" applyBorder="1" applyAlignment="1">
      <alignment horizontal="left"/>
    </xf>
    <xf numFmtId="178" fontId="16" fillId="33" borderId="24" xfId="0" applyNumberFormat="1" applyFont="1" applyFill="1" applyBorder="1" applyAlignment="1">
      <alignment horizontal="left"/>
    </xf>
    <xf numFmtId="178" fontId="16" fillId="33" borderId="20" xfId="0" applyNumberFormat="1" applyFont="1" applyFill="1" applyBorder="1" applyAlignment="1">
      <alignment horizontal="left"/>
    </xf>
    <xf numFmtId="179" fontId="16" fillId="33" borderId="19" xfId="0" applyNumberFormat="1" applyFont="1" applyFill="1" applyBorder="1" applyAlignment="1">
      <alignment horizontal="left"/>
    </xf>
    <xf numFmtId="179" fontId="16" fillId="33" borderId="24" xfId="0" applyNumberFormat="1" applyFont="1" applyFill="1" applyBorder="1" applyAlignment="1">
      <alignment horizontal="left"/>
    </xf>
    <xf numFmtId="179" fontId="16" fillId="33" borderId="20" xfId="0" applyNumberFormat="1" applyFont="1" applyFill="1" applyBorder="1" applyAlignment="1">
      <alignment horizontal="left"/>
    </xf>
    <xf numFmtId="180" fontId="19" fillId="33" borderId="19" xfId="0" applyNumberFormat="1" applyFont="1" applyFill="1" applyBorder="1" applyAlignment="1">
      <alignment horizontal="center"/>
    </xf>
    <xf numFmtId="180" fontId="19" fillId="33" borderId="24" xfId="0" applyNumberFormat="1" applyFont="1" applyFill="1" applyBorder="1" applyAlignment="1">
      <alignment horizontal="center"/>
    </xf>
    <xf numFmtId="180" fontId="19" fillId="33" borderId="20" xfId="0" applyNumberFormat="1" applyFont="1" applyFill="1" applyBorder="1" applyAlignment="1">
      <alignment horizontal="center"/>
    </xf>
    <xf numFmtId="181" fontId="20" fillId="34" borderId="19" xfId="0" applyNumberFormat="1" applyFont="1" applyFill="1" applyBorder="1" applyAlignment="1">
      <alignment horizontal="center"/>
    </xf>
    <xf numFmtId="181" fontId="20" fillId="34" borderId="24" xfId="0" applyNumberFormat="1" applyFont="1" applyFill="1" applyBorder="1" applyAlignment="1">
      <alignment horizontal="center"/>
    </xf>
    <xf numFmtId="181" fontId="20" fillId="34" borderId="20" xfId="0" applyNumberFormat="1" applyFont="1" applyFill="1" applyBorder="1" applyAlignment="1">
      <alignment horizontal="center"/>
    </xf>
    <xf numFmtId="0" fontId="0" fillId="0" borderId="23" xfId="0" applyBorder="1"/>
    <xf numFmtId="182" fontId="0" fillId="0" borderId="18" xfId="0" applyNumberFormat="1" applyBorder="1" applyAlignment="1">
      <alignment horizontal="center"/>
    </xf>
    <xf numFmtId="0" fontId="16" fillId="0" borderId="16" xfId="0" applyFont="1" applyBorder="1"/>
    <xf numFmtId="0" fontId="16" fillId="0" borderId="22" xfId="0" applyFont="1" applyBorder="1"/>
    <xf numFmtId="184" fontId="19" fillId="33" borderId="19" xfId="0" applyNumberFormat="1" applyFont="1" applyFill="1" applyBorder="1" applyAlignment="1">
      <alignment horizontal="left"/>
    </xf>
    <xf numFmtId="184" fontId="19" fillId="33" borderId="24" xfId="0" applyNumberFormat="1" applyFont="1" applyFill="1" applyBorder="1" applyAlignment="1">
      <alignment horizontal="left"/>
    </xf>
    <xf numFmtId="184" fontId="19" fillId="33" borderId="20" xfId="0" applyNumberFormat="1" applyFont="1" applyFill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172" fontId="16" fillId="35" borderId="10" xfId="0" applyNumberFormat="1" applyFont="1" applyFill="1" applyBorder="1" applyAlignment="1">
      <alignment horizontal="center"/>
    </xf>
    <xf numFmtId="167" fontId="16" fillId="0" borderId="16" xfId="0" applyNumberFormat="1" applyFont="1" applyBorder="1"/>
    <xf numFmtId="0" fontId="20" fillId="36" borderId="21" xfId="0" applyFont="1" applyFill="1" applyBorder="1" applyAlignment="1">
      <alignment horizontal="center" vertical="center" wrapText="1"/>
    </xf>
    <xf numFmtId="0" fontId="20" fillId="36" borderId="23" xfId="0" applyFont="1" applyFill="1" applyBorder="1" applyAlignment="1">
      <alignment horizontal="center" vertical="center" wrapText="1"/>
    </xf>
    <xf numFmtId="0" fontId="20" fillId="36" borderId="14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6" borderId="18" xfId="0" applyFont="1" applyFill="1" applyBorder="1" applyAlignment="1">
      <alignment horizontal="center" vertical="center" wrapText="1"/>
    </xf>
    <xf numFmtId="167" fontId="22" fillId="36" borderId="10" xfId="0" applyNumberFormat="1" applyFont="1" applyFill="1" applyBorder="1" applyAlignment="1">
      <alignment horizontal="left"/>
    </xf>
    <xf numFmtId="186" fontId="0" fillId="0" borderId="0" xfId="0" applyNumberFormat="1"/>
    <xf numFmtId="176" fontId="0" fillId="0" borderId="0" xfId="0" applyNumberFormat="1"/>
    <xf numFmtId="182" fontId="0" fillId="0" borderId="0" xfId="0" applyNumberFormat="1"/>
    <xf numFmtId="180" fontId="23" fillId="0" borderId="0" xfId="0" applyNumberFormat="1" applyFont="1"/>
    <xf numFmtId="9" fontId="0" fillId="0" borderId="0" xfId="43" applyFont="1" applyAlignment="1">
      <alignment horizontal="center"/>
    </xf>
    <xf numFmtId="0" fontId="24" fillId="0" borderId="0" xfId="0" applyFont="1"/>
    <xf numFmtId="177" fontId="21" fillId="0" borderId="0" xfId="0" applyNumberFormat="1" applyFont="1"/>
    <xf numFmtId="184" fontId="0" fillId="0" borderId="0" xfId="0" applyNumberFormat="1"/>
    <xf numFmtId="168" fontId="0" fillId="37" borderId="0" xfId="0" applyNumberFormat="1" applyFill="1"/>
    <xf numFmtId="0" fontId="22" fillId="37" borderId="0" xfId="0" applyFont="1" applyFill="1"/>
    <xf numFmtId="166" fontId="20" fillId="37" borderId="0" xfId="0" applyNumberFormat="1" applyFont="1" applyFill="1" applyAlignment="1">
      <alignment horizontal="center"/>
    </xf>
    <xf numFmtId="0" fontId="0" fillId="37" borderId="34" xfId="0" applyFill="1" applyBorder="1"/>
    <xf numFmtId="0" fontId="0" fillId="37" borderId="34" xfId="0" applyFill="1" applyBorder="1" applyAlignment="1">
      <alignment horizontal="center"/>
    </xf>
    <xf numFmtId="184" fontId="19" fillId="33" borderId="14" xfId="0" applyNumberFormat="1" applyFont="1" applyFill="1" applyBorder="1" applyAlignment="1">
      <alignment horizontal="left"/>
    </xf>
    <xf numFmtId="184" fontId="19" fillId="33" borderId="21" xfId="0" applyNumberFormat="1" applyFont="1" applyFill="1" applyBorder="1" applyAlignment="1">
      <alignment horizontal="left"/>
    </xf>
    <xf numFmtId="184" fontId="19" fillId="33" borderId="15" xfId="0" applyNumberFormat="1" applyFont="1" applyFill="1" applyBorder="1" applyAlignment="1">
      <alignment horizontal="left"/>
    </xf>
    <xf numFmtId="187" fontId="16" fillId="38" borderId="34" xfId="0" applyNumberFormat="1" applyFont="1" applyFill="1" applyBorder="1" applyAlignment="1">
      <alignment horizontal="center"/>
    </xf>
    <xf numFmtId="0" fontId="22" fillId="38" borderId="0" xfId="0" applyFont="1" applyFill="1"/>
    <xf numFmtId="0" fontId="16" fillId="38" borderId="22" xfId="0" applyFont="1" applyFill="1" applyBorder="1"/>
    <xf numFmtId="167" fontId="16" fillId="37" borderId="16" xfId="0" applyNumberFormat="1" applyFont="1" applyFill="1" applyBorder="1"/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43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685801</xdr:colOff>
      <xdr:row>12</xdr:row>
      <xdr:rowOff>161925</xdr:rowOff>
    </xdr:from>
    <xdr:to>
      <xdr:col>2</xdr:col>
      <xdr:colOff>1381126</xdr:colOff>
      <xdr:row>14</xdr:row>
      <xdr:rowOff>47625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9B8F22E-9698-8D1D-44CD-633EE2908B2D}"/>
            </a:ext>
          </a:extLst>
        </xdr:cNvPr>
        <xdr:cNvSpPr/>
      </xdr:nvSpPr>
      <xdr:spPr>
        <a:xfrm>
          <a:off x="1295401" y="2562225"/>
          <a:ext cx="1409700" cy="342900"/>
        </a:xfrm>
        <a:prstGeom prst="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657225</xdr:colOff>
      <xdr:row>26</xdr:row>
      <xdr:rowOff>161925</xdr:rowOff>
    </xdr:from>
    <xdr:to>
      <xdr:col>3</xdr:col>
      <xdr:colOff>28575</xdr:colOff>
      <xdr:row>28</xdr:row>
      <xdr:rowOff>38100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CE466557-C8D4-9D37-3BE4-7F4221C4A172}"/>
            </a:ext>
          </a:extLst>
        </xdr:cNvPr>
        <xdr:cNvSpPr/>
      </xdr:nvSpPr>
      <xdr:spPr>
        <a:xfrm>
          <a:off x="1266825" y="5953125"/>
          <a:ext cx="1990725" cy="257175"/>
        </a:xfrm>
        <a:prstGeom prst="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657225</xdr:colOff>
      <xdr:row>13</xdr:row>
      <xdr:rowOff>142875</xdr:rowOff>
    </xdr:from>
    <xdr:to>
      <xdr:col>1</xdr:col>
      <xdr:colOff>685801</xdr:colOff>
      <xdr:row>27</xdr:row>
      <xdr:rowOff>100013</xdr:rowOff>
    </xdr:to>
    <xdr:cxnSp macro="">
      <xdr:nvCxnSpPr>
        <xdr:cNvPr id="14" name="Conector: Angulado 13">
          <a:extLst>
            <a:ext uri="{FF2B5EF4-FFF2-40B4-BE49-F238E27FC236}">
              <a16:creationId xmlns:a16="http://schemas.microsoft.com/office/drawing/2014/main" id="{03F51672-6D80-919F-B8D3-53B9E596FA76}"/>
            </a:ext>
          </a:extLst>
        </xdr:cNvPr>
        <xdr:cNvCxnSpPr>
          <a:stCxn id="11" idx="1"/>
          <a:endCxn id="12" idx="1"/>
        </xdr:cNvCxnSpPr>
      </xdr:nvCxnSpPr>
      <xdr:spPr>
        <a:xfrm rot="10800000" flipV="1">
          <a:off x="1266825" y="2733675"/>
          <a:ext cx="28576" cy="3348038"/>
        </a:xfrm>
        <a:prstGeom prst="bentConnector3">
          <a:avLst>
            <a:gd name="adj1" fmla="val 899972"/>
          </a:avLst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19051</xdr:colOff>
      <xdr:row>12</xdr:row>
      <xdr:rowOff>171450</xdr:rowOff>
    </xdr:from>
    <xdr:to>
      <xdr:col>4</xdr:col>
      <xdr:colOff>19051</xdr:colOff>
      <xdr:row>14</xdr:row>
      <xdr:rowOff>57150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FFD3FD65-4AEC-143E-759D-94C734B1F6A6}"/>
            </a:ext>
          </a:extLst>
        </xdr:cNvPr>
        <xdr:cNvSpPr/>
      </xdr:nvSpPr>
      <xdr:spPr>
        <a:xfrm>
          <a:off x="3248026" y="2571750"/>
          <a:ext cx="1409700" cy="342900"/>
        </a:xfrm>
        <a:prstGeom prst="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647700</xdr:colOff>
      <xdr:row>12</xdr:row>
      <xdr:rowOff>171450</xdr:rowOff>
    </xdr:from>
    <xdr:to>
      <xdr:col>3</xdr:col>
      <xdr:colOff>723901</xdr:colOff>
      <xdr:row>29</xdr:row>
      <xdr:rowOff>109538</xdr:rowOff>
    </xdr:to>
    <xdr:cxnSp macro="">
      <xdr:nvCxnSpPr>
        <xdr:cNvPr id="19" name="Conector: Angulado 18">
          <a:extLst>
            <a:ext uri="{FF2B5EF4-FFF2-40B4-BE49-F238E27FC236}">
              <a16:creationId xmlns:a16="http://schemas.microsoft.com/office/drawing/2014/main" id="{90C2C6FD-EC2D-43CD-83E1-A41744103372}"/>
            </a:ext>
          </a:extLst>
        </xdr:cNvPr>
        <xdr:cNvCxnSpPr>
          <a:stCxn id="18" idx="0"/>
          <a:endCxn id="27" idx="1"/>
        </xdr:cNvCxnSpPr>
      </xdr:nvCxnSpPr>
      <xdr:spPr>
        <a:xfrm rot="16200000" flipH="1" flipV="1">
          <a:off x="654844" y="3174206"/>
          <a:ext cx="3900488" cy="2695576"/>
        </a:xfrm>
        <a:prstGeom prst="bentConnector4">
          <a:avLst>
            <a:gd name="adj1" fmla="val -5861"/>
            <a:gd name="adj2" fmla="val 131096"/>
          </a:avLst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647700</xdr:colOff>
      <xdr:row>28</xdr:row>
      <xdr:rowOff>171450</xdr:rowOff>
    </xdr:from>
    <xdr:to>
      <xdr:col>3</xdr:col>
      <xdr:colOff>19050</xdr:colOff>
      <xdr:row>30</xdr:row>
      <xdr:rowOff>38100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2653FE3-9C75-459E-89EB-06B3745317BC}"/>
            </a:ext>
          </a:extLst>
        </xdr:cNvPr>
        <xdr:cNvSpPr/>
      </xdr:nvSpPr>
      <xdr:spPr>
        <a:xfrm>
          <a:off x="1257300" y="6343650"/>
          <a:ext cx="1990725" cy="257175"/>
        </a:xfrm>
        <a:prstGeom prst="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28B2-CFD9-46DC-BAF2-973556A171B2}">
  <dimension ref="A1:R52"/>
  <sheetViews>
    <sheetView zoomScaleNormal="100" workbookViewId="0">
      <selection sqref="A1:H6"/>
    </sheetView>
  </sheetViews>
  <sheetFormatPr defaultRowHeight="15" x14ac:dyDescent="0.25"/>
  <cols>
    <col min="2" max="2" width="32" bestFit="1" customWidth="1"/>
    <col min="3" max="4" width="9.140625" style="1"/>
    <col min="5" max="5" width="12.5703125" bestFit="1" customWidth="1"/>
    <col min="6" max="6" width="9.140625" style="1"/>
    <col min="7" max="7" width="12.42578125" style="1" customWidth="1"/>
    <col min="8" max="11" width="9.140625" style="1"/>
    <col min="12" max="12" width="6.5703125" customWidth="1"/>
    <col min="13" max="13" width="22.28515625" bestFit="1" customWidth="1"/>
    <col min="14" max="16" width="21.28515625" bestFit="1" customWidth="1"/>
    <col min="17" max="18" width="22.28515625" bestFit="1" customWidth="1"/>
  </cols>
  <sheetData>
    <row r="1" spans="1:18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12</v>
      </c>
      <c r="H1" s="1" t="s">
        <v>24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5">
      <c r="A2">
        <v>1</v>
      </c>
      <c r="B2" t="s">
        <v>6</v>
      </c>
      <c r="C2" s="1">
        <v>35</v>
      </c>
      <c r="D2" s="1">
        <v>70</v>
      </c>
      <c r="E2" t="s">
        <v>7</v>
      </c>
      <c r="F2" s="1">
        <v>2.92</v>
      </c>
      <c r="G2" s="3">
        <f>+C2/100*D2/100</f>
        <v>0.245</v>
      </c>
      <c r="H2" s="1">
        <f>+G2-0.01*C2/100-0.01*D2/100</f>
        <v>0.23449999999999999</v>
      </c>
      <c r="N2" t="s">
        <v>6</v>
      </c>
      <c r="O2" t="s">
        <v>8</v>
      </c>
      <c r="P2" t="s">
        <v>9</v>
      </c>
      <c r="Q2" t="s">
        <v>10</v>
      </c>
      <c r="R2" t="s">
        <v>11</v>
      </c>
    </row>
    <row r="3" spans="1:18" x14ac:dyDescent="0.25">
      <c r="A3">
        <v>2</v>
      </c>
      <c r="B3" t="s">
        <v>8</v>
      </c>
      <c r="C3" s="1">
        <v>40</v>
      </c>
      <c r="D3" s="1">
        <v>80</v>
      </c>
      <c r="E3" t="s">
        <v>7</v>
      </c>
      <c r="F3" s="1">
        <v>2.92</v>
      </c>
      <c r="G3" s="3">
        <f>+C3/100*D3/100</f>
        <v>0.32</v>
      </c>
      <c r="H3" s="1">
        <f>+G3-0.01*C3/100-0.01*D3/100</f>
        <v>0.308</v>
      </c>
      <c r="N3" s="1">
        <v>0.23449999999999999</v>
      </c>
      <c r="O3" s="1">
        <v>0.308</v>
      </c>
      <c r="P3" s="1">
        <v>0.39150000000000001</v>
      </c>
      <c r="Q3" s="1">
        <v>0.48499999999999999</v>
      </c>
      <c r="R3" s="1">
        <v>0.58850000000000013</v>
      </c>
    </row>
    <row r="4" spans="1:18" x14ac:dyDescent="0.25">
      <c r="A4">
        <v>3</v>
      </c>
      <c r="B4" t="s">
        <v>9</v>
      </c>
      <c r="C4" s="1">
        <v>45</v>
      </c>
      <c r="D4" s="1">
        <v>90</v>
      </c>
      <c r="E4" t="s">
        <v>7</v>
      </c>
      <c r="F4" s="1">
        <v>2.92</v>
      </c>
      <c r="G4" s="3">
        <f>+C4/100*D4/100</f>
        <v>0.40500000000000003</v>
      </c>
      <c r="H4" s="1">
        <f>+G4-0.01*C4/100-0.01*D4/100</f>
        <v>0.39150000000000001</v>
      </c>
      <c r="M4" t="s">
        <v>13</v>
      </c>
      <c r="N4" s="1" cm="1">
        <f t="array" ref="N4:N9">ROUNDDOWN($N$3/$G$8:$G$13,1)</f>
        <v>3.9</v>
      </c>
      <c r="O4" s="1" cm="1">
        <f t="array" ref="O4:O9">ROUNDDOWN(O3/$G$8:$G$13,1)</f>
        <v>5.0999999999999996</v>
      </c>
      <c r="P4" s="1" cm="1">
        <f t="array" ref="P4:P9">ROUNDDOWN(P3/$G$8:$G$13,1)</f>
        <v>6.5</v>
      </c>
      <c r="Q4" s="1" cm="1">
        <f t="array" ref="Q4:Q9">ROUNDDOWN(Q3/$G$8:$G$13,1)</f>
        <v>8.1</v>
      </c>
      <c r="R4" s="1" cm="1">
        <f t="array" ref="R4:R9">ROUNDDOWN(R3/$G$8:$G$13,1)</f>
        <v>9.8000000000000007</v>
      </c>
    </row>
    <row r="5" spans="1:18" x14ac:dyDescent="0.25">
      <c r="A5">
        <v>4</v>
      </c>
      <c r="B5" t="s">
        <v>10</v>
      </c>
      <c r="C5" s="1">
        <v>50</v>
      </c>
      <c r="D5" s="1">
        <v>100</v>
      </c>
      <c r="E5" t="s">
        <v>7</v>
      </c>
      <c r="F5" s="1">
        <v>2.92</v>
      </c>
      <c r="G5" s="3">
        <f>+C5/100*D5/100</f>
        <v>0.5</v>
      </c>
      <c r="H5" s="1">
        <f>+G5-0.01*C5/100-0.01*D5/100</f>
        <v>0.48499999999999999</v>
      </c>
      <c r="M5" t="s">
        <v>14</v>
      </c>
      <c r="N5" s="1">
        <v>1.3</v>
      </c>
      <c r="O5" s="1">
        <v>1.7</v>
      </c>
      <c r="P5" s="1">
        <v>2.2000000000000002</v>
      </c>
      <c r="Q5" s="1">
        <v>2.7</v>
      </c>
      <c r="R5" s="1">
        <v>3.3</v>
      </c>
    </row>
    <row r="6" spans="1:18" x14ac:dyDescent="0.25">
      <c r="A6">
        <v>5</v>
      </c>
      <c r="B6" t="s">
        <v>11</v>
      </c>
      <c r="C6" s="1">
        <v>55</v>
      </c>
      <c r="D6" s="1">
        <v>110</v>
      </c>
      <c r="E6" t="s">
        <v>7</v>
      </c>
      <c r="F6" s="1">
        <v>2.92</v>
      </c>
      <c r="G6" s="3">
        <f>+C6/100*D6/100</f>
        <v>0.60500000000000009</v>
      </c>
      <c r="H6" s="1">
        <f>+G6-0.01*C6/100-0.01*D6/100</f>
        <v>0.58850000000000013</v>
      </c>
      <c r="M6" t="s">
        <v>15</v>
      </c>
      <c r="N6" s="1">
        <v>1.1000000000000001</v>
      </c>
      <c r="O6" s="1">
        <v>1.5</v>
      </c>
      <c r="P6" s="1">
        <v>1.9</v>
      </c>
      <c r="Q6" s="1">
        <v>2.4</v>
      </c>
      <c r="R6" s="1">
        <v>2.9</v>
      </c>
    </row>
    <row r="7" spans="1:18" x14ac:dyDescent="0.25">
      <c r="M7" t="s">
        <v>16</v>
      </c>
      <c r="N7" s="1">
        <v>0.9</v>
      </c>
      <c r="O7" s="1">
        <v>1.2</v>
      </c>
      <c r="P7" s="1">
        <v>1.6</v>
      </c>
      <c r="Q7" s="1">
        <v>2</v>
      </c>
      <c r="R7" s="1">
        <v>2.4</v>
      </c>
    </row>
    <row r="8" spans="1:18" x14ac:dyDescent="0.25">
      <c r="B8" t="s">
        <v>13</v>
      </c>
      <c r="C8" s="1">
        <v>13</v>
      </c>
      <c r="D8" s="1">
        <v>13</v>
      </c>
      <c r="E8" t="s">
        <v>19</v>
      </c>
      <c r="G8" s="3">
        <f t="shared" ref="G8:G13" si="0">+(C8/100*D8/100)*2+5/100*C8/100*4</f>
        <v>5.9799999999999999E-2</v>
      </c>
      <c r="M8" t="s">
        <v>17</v>
      </c>
      <c r="N8" s="1">
        <v>3.9</v>
      </c>
      <c r="O8" s="1">
        <v>5.0999999999999996</v>
      </c>
      <c r="P8" s="1">
        <v>6.5</v>
      </c>
      <c r="Q8" s="1">
        <v>8</v>
      </c>
      <c r="R8" s="1">
        <v>9.8000000000000007</v>
      </c>
    </row>
    <row r="9" spans="1:18" x14ac:dyDescent="0.25">
      <c r="B9" t="s">
        <v>14</v>
      </c>
      <c r="C9" s="1">
        <v>25</v>
      </c>
      <c r="D9" s="1">
        <v>25</v>
      </c>
      <c r="E9" t="s">
        <v>19</v>
      </c>
      <c r="G9" s="3">
        <f t="shared" si="0"/>
        <v>0.17499999999999999</v>
      </c>
      <c r="M9" t="s">
        <v>18</v>
      </c>
      <c r="N9" s="1">
        <v>2.2999999999999998</v>
      </c>
      <c r="O9" s="1">
        <v>3</v>
      </c>
      <c r="P9" s="1">
        <v>3.9</v>
      </c>
      <c r="Q9" s="1">
        <v>4.8</v>
      </c>
      <c r="R9" s="1">
        <v>5.8</v>
      </c>
    </row>
    <row r="10" spans="1:18" x14ac:dyDescent="0.25">
      <c r="B10" t="s">
        <v>15</v>
      </c>
      <c r="C10" s="1">
        <v>27</v>
      </c>
      <c r="D10" s="1">
        <v>27</v>
      </c>
      <c r="E10" t="s">
        <v>19</v>
      </c>
      <c r="G10" s="3">
        <f t="shared" si="0"/>
        <v>0.19980000000000003</v>
      </c>
    </row>
    <row r="11" spans="1:18" x14ac:dyDescent="0.25">
      <c r="B11" t="s">
        <v>16</v>
      </c>
      <c r="C11" s="1">
        <v>30</v>
      </c>
      <c r="D11" s="1">
        <v>30</v>
      </c>
      <c r="E11" t="s">
        <v>19</v>
      </c>
      <c r="G11" s="3">
        <f t="shared" si="0"/>
        <v>0.24</v>
      </c>
      <c r="M11" t="s">
        <v>13</v>
      </c>
      <c r="N11" s="4">
        <f>+ROUNDDOWN(N4,0)</f>
        <v>3</v>
      </c>
      <c r="O11" s="4">
        <f>+ROUNDDOWN(O4,0)</f>
        <v>5</v>
      </c>
      <c r="P11" s="4">
        <f>+ROUNDDOWN(P4,0)</f>
        <v>6</v>
      </c>
      <c r="Q11" s="4">
        <f>+ROUNDDOWN(Q4,0)</f>
        <v>8</v>
      </c>
      <c r="R11" s="4">
        <f>+ROUNDDOWN(R4,0)</f>
        <v>9</v>
      </c>
    </row>
    <row r="12" spans="1:18" x14ac:dyDescent="0.25">
      <c r="B12" t="s">
        <v>17</v>
      </c>
      <c r="C12" s="1">
        <v>15</v>
      </c>
      <c r="D12" s="1">
        <v>10</v>
      </c>
      <c r="E12" t="s">
        <v>19</v>
      </c>
      <c r="G12" s="3">
        <f t="shared" si="0"/>
        <v>0.06</v>
      </c>
      <c r="M12" t="s">
        <v>14</v>
      </c>
      <c r="N12" s="4">
        <f t="shared" ref="N12:R16" si="1">+ROUNDDOWN(N5,0)</f>
        <v>1</v>
      </c>
      <c r="O12" s="4">
        <f t="shared" si="1"/>
        <v>1</v>
      </c>
      <c r="P12" s="4">
        <f t="shared" si="1"/>
        <v>2</v>
      </c>
      <c r="Q12" s="4">
        <f t="shared" si="1"/>
        <v>2</v>
      </c>
      <c r="R12" s="4">
        <f t="shared" si="1"/>
        <v>3</v>
      </c>
    </row>
    <row r="13" spans="1:18" x14ac:dyDescent="0.25">
      <c r="B13" t="s">
        <v>18</v>
      </c>
      <c r="C13" s="1">
        <v>20</v>
      </c>
      <c r="D13" s="1">
        <v>15</v>
      </c>
      <c r="E13" t="s">
        <v>19</v>
      </c>
      <c r="G13" s="3">
        <f t="shared" si="0"/>
        <v>0.1</v>
      </c>
      <c r="M13" t="s">
        <v>15</v>
      </c>
      <c r="N13" s="4">
        <f t="shared" si="1"/>
        <v>1</v>
      </c>
      <c r="O13" s="4">
        <f t="shared" si="1"/>
        <v>1</v>
      </c>
      <c r="P13" s="4">
        <f t="shared" si="1"/>
        <v>1</v>
      </c>
      <c r="Q13" s="4">
        <f t="shared" si="1"/>
        <v>2</v>
      </c>
      <c r="R13" s="4">
        <f t="shared" si="1"/>
        <v>2</v>
      </c>
    </row>
    <row r="14" spans="1:18" x14ac:dyDescent="0.25">
      <c r="M14" t="s">
        <v>16</v>
      </c>
      <c r="N14" s="4">
        <f t="shared" si="1"/>
        <v>0</v>
      </c>
      <c r="O14" s="4">
        <f t="shared" si="1"/>
        <v>1</v>
      </c>
      <c r="P14" s="4">
        <f t="shared" si="1"/>
        <v>1</v>
      </c>
      <c r="Q14" s="4">
        <f t="shared" si="1"/>
        <v>2</v>
      </c>
      <c r="R14" s="4">
        <f t="shared" si="1"/>
        <v>2</v>
      </c>
    </row>
    <row r="15" spans="1:18" x14ac:dyDescent="0.25">
      <c r="H15" s="1" t="s">
        <v>20</v>
      </c>
      <c r="I15" s="1" t="s">
        <v>22</v>
      </c>
      <c r="J15" s="1" t="s">
        <v>21</v>
      </c>
      <c r="M15" t="s">
        <v>17</v>
      </c>
      <c r="N15" s="4">
        <f t="shared" si="1"/>
        <v>3</v>
      </c>
      <c r="O15" s="4">
        <f t="shared" si="1"/>
        <v>5</v>
      </c>
      <c r="P15" s="4">
        <f t="shared" si="1"/>
        <v>6</v>
      </c>
      <c r="Q15" s="4">
        <f t="shared" si="1"/>
        <v>8</v>
      </c>
      <c r="R15" s="4">
        <f t="shared" si="1"/>
        <v>9</v>
      </c>
    </row>
    <row r="16" spans="1:18" x14ac:dyDescent="0.25">
      <c r="B16" t="s">
        <v>23</v>
      </c>
      <c r="C16" s="1">
        <v>20</v>
      </c>
      <c r="D16" s="1">
        <v>20</v>
      </c>
      <c r="E16" t="s">
        <v>19</v>
      </c>
      <c r="G16" s="3">
        <f>+(C16/100*D16/100)*2+5/100*C16/100*4</f>
        <v>0.12</v>
      </c>
      <c r="H16" s="1">
        <v>50</v>
      </c>
      <c r="I16" s="1">
        <v>59.92</v>
      </c>
      <c r="J16" s="1">
        <f>+I16/(H16*G16)</f>
        <v>9.9866666666666664</v>
      </c>
      <c r="M16" t="s">
        <v>18</v>
      </c>
      <c r="N16" s="4">
        <f t="shared" si="1"/>
        <v>2</v>
      </c>
      <c r="O16" s="4">
        <f t="shared" si="1"/>
        <v>3</v>
      </c>
      <c r="P16" s="4">
        <f t="shared" si="1"/>
        <v>3</v>
      </c>
      <c r="Q16" s="4">
        <f t="shared" si="1"/>
        <v>4</v>
      </c>
      <c r="R16" s="4">
        <f t="shared" si="1"/>
        <v>5</v>
      </c>
    </row>
    <row r="17" spans="2:18" x14ac:dyDescent="0.25">
      <c r="B17" t="s">
        <v>23</v>
      </c>
      <c r="C17" s="1">
        <v>20</v>
      </c>
      <c r="D17" s="1">
        <v>25</v>
      </c>
      <c r="E17" t="s">
        <v>19</v>
      </c>
      <c r="G17" s="3">
        <f>+(C17/100*D17/100)*2+5/100*C17/100*4</f>
        <v>0.14000000000000001</v>
      </c>
      <c r="H17" s="1">
        <v>50</v>
      </c>
      <c r="I17" s="1">
        <v>60.92</v>
      </c>
      <c r="J17" s="1">
        <f>+I17/(H17*G17)</f>
        <v>8.7028571428571428</v>
      </c>
    </row>
    <row r="18" spans="2:18" x14ac:dyDescent="0.25">
      <c r="B18" t="s">
        <v>23</v>
      </c>
      <c r="C18" s="1">
        <v>23</v>
      </c>
      <c r="D18" s="1">
        <v>32</v>
      </c>
      <c r="E18" t="s">
        <v>19</v>
      </c>
      <c r="G18" s="3">
        <f>+(C18/100*D18/100)*2+5/100*C18/100*4</f>
        <v>0.19320000000000001</v>
      </c>
      <c r="H18" s="1">
        <v>50</v>
      </c>
      <c r="I18" s="1">
        <v>61.92</v>
      </c>
      <c r="J18" s="1">
        <f>+I18/(H18*G18)</f>
        <v>6.4099378881987574</v>
      </c>
      <c r="M18" t="s">
        <v>13</v>
      </c>
      <c r="N18" s="4">
        <f>IF(IF(ISODD(N11),N11-1,N11) = 0,1,IF(ISODD(N11),N11-1,N11))</f>
        <v>2</v>
      </c>
      <c r="O18" s="4">
        <f>IF(IF(ISODD(O11),O11-1,O11) = 0,1,IF(ISODD(O11),O11-1,O11))</f>
        <v>4</v>
      </c>
      <c r="P18" s="4">
        <f>IF(IF(ISODD(P11),P11-1,P11) = 0,1,IF(ISODD(P11),P11-1,P11))</f>
        <v>6</v>
      </c>
      <c r="Q18" s="4">
        <f>IF(IF(ISODD(Q11),Q11-1,Q11) = 0,1,IF(ISODD(Q11),Q11-1,Q11))</f>
        <v>8</v>
      </c>
      <c r="R18" s="4">
        <f>IF(IF(ISODD(R11),R11-1,R11) = 0,1,IF(ISODD(R11),R11-1,R11))</f>
        <v>8</v>
      </c>
    </row>
    <row r="19" spans="2:18" x14ac:dyDescent="0.25">
      <c r="B19" t="s">
        <v>23</v>
      </c>
      <c r="C19" s="1">
        <v>50</v>
      </c>
      <c r="D19" s="1">
        <v>50</v>
      </c>
      <c r="E19" t="s">
        <v>19</v>
      </c>
      <c r="G19" s="3">
        <f>+(C19/100*D19/100)*2+5/100*C19/100*4</f>
        <v>0.6</v>
      </c>
      <c r="H19" s="1">
        <v>50</v>
      </c>
      <c r="I19" s="1">
        <v>62.92</v>
      </c>
      <c r="J19" s="1">
        <f>+I19/(H19*G19)</f>
        <v>2.0973333333333333</v>
      </c>
      <c r="M19" t="s">
        <v>14</v>
      </c>
      <c r="N19" s="4">
        <f t="shared" ref="N19:R23" si="2">IF(IF(ISODD(N12),N12-1,N12) = 0,1,IF(ISODD(N12),N12-1,N12))</f>
        <v>1</v>
      </c>
      <c r="O19" s="4">
        <f t="shared" si="2"/>
        <v>1</v>
      </c>
      <c r="P19" s="4">
        <f t="shared" si="2"/>
        <v>2</v>
      </c>
      <c r="Q19" s="4">
        <f t="shared" si="2"/>
        <v>2</v>
      </c>
      <c r="R19" s="4">
        <f t="shared" si="2"/>
        <v>2</v>
      </c>
    </row>
    <row r="20" spans="2:18" x14ac:dyDescent="0.25">
      <c r="M20" t="s">
        <v>15</v>
      </c>
      <c r="N20" s="4">
        <f t="shared" si="2"/>
        <v>1</v>
      </c>
      <c r="O20" s="4">
        <f t="shared" si="2"/>
        <v>1</v>
      </c>
      <c r="P20" s="4">
        <f t="shared" si="2"/>
        <v>1</v>
      </c>
      <c r="Q20" s="4">
        <f t="shared" si="2"/>
        <v>2</v>
      </c>
      <c r="R20" s="4">
        <f t="shared" si="2"/>
        <v>2</v>
      </c>
    </row>
    <row r="21" spans="2:18" x14ac:dyDescent="0.25">
      <c r="M21" t="s">
        <v>16</v>
      </c>
      <c r="N21" s="4">
        <f t="shared" si="2"/>
        <v>1</v>
      </c>
      <c r="O21" s="4">
        <f t="shared" si="2"/>
        <v>1</v>
      </c>
      <c r="P21" s="4">
        <f t="shared" si="2"/>
        <v>1</v>
      </c>
      <c r="Q21" s="4">
        <f t="shared" si="2"/>
        <v>2</v>
      </c>
      <c r="R21" s="4">
        <f t="shared" si="2"/>
        <v>2</v>
      </c>
    </row>
    <row r="22" spans="2:18" x14ac:dyDescent="0.25">
      <c r="M22" t="s">
        <v>17</v>
      </c>
      <c r="N22" s="4">
        <f t="shared" si="2"/>
        <v>2</v>
      </c>
      <c r="O22" s="4">
        <f t="shared" si="2"/>
        <v>4</v>
      </c>
      <c r="P22" s="4">
        <f t="shared" si="2"/>
        <v>6</v>
      </c>
      <c r="Q22" s="4">
        <f t="shared" si="2"/>
        <v>8</v>
      </c>
      <c r="R22" s="4">
        <f t="shared" si="2"/>
        <v>8</v>
      </c>
    </row>
    <row r="23" spans="2:18" x14ac:dyDescent="0.25">
      <c r="M23" t="s">
        <v>18</v>
      </c>
      <c r="N23" s="4">
        <f t="shared" si="2"/>
        <v>2</v>
      </c>
      <c r="O23" s="4">
        <f t="shared" si="2"/>
        <v>2</v>
      </c>
      <c r="P23" s="4">
        <f t="shared" si="2"/>
        <v>2</v>
      </c>
      <c r="Q23" s="4">
        <f t="shared" si="2"/>
        <v>4</v>
      </c>
      <c r="R23" s="4">
        <f t="shared" si="2"/>
        <v>4</v>
      </c>
    </row>
    <row r="24" spans="2:18" ht="15.75" thickBot="1" x14ac:dyDescent="0.3"/>
    <row r="25" spans="2:18" ht="15.75" thickBot="1" x14ac:dyDescent="0.3">
      <c r="L25" s="27" t="s">
        <v>25</v>
      </c>
      <c r="M25" t="s">
        <v>13</v>
      </c>
      <c r="N25" s="5">
        <f t="shared" ref="N25:N30" si="3">(N18*G8)/$N$3</f>
        <v>0.51002132196162053</v>
      </c>
      <c r="O25" s="5">
        <f>(O18*G8)/$O$3</f>
        <v>0.77662337662337666</v>
      </c>
      <c r="P25" s="5">
        <f t="shared" ref="P25:P30" si="4">(P18*G8)/$P$3</f>
        <v>0.91647509578544062</v>
      </c>
      <c r="Q25" s="6">
        <f t="shared" ref="Q25:Q30" si="5">(Q18*G8)/$Q$3</f>
        <v>0.98639175257731959</v>
      </c>
      <c r="R25" s="5">
        <f t="shared" ref="R25:R30" si="6">(R18*G8)/$R$3</f>
        <v>0.81291418861512299</v>
      </c>
    </row>
    <row r="26" spans="2:18" ht="15.75" thickBot="1" x14ac:dyDescent="0.3">
      <c r="L26" s="27"/>
      <c r="M26" t="s">
        <v>14</v>
      </c>
      <c r="N26" s="5">
        <f t="shared" si="3"/>
        <v>0.74626865671641796</v>
      </c>
      <c r="O26" s="5">
        <f t="shared" ref="O26:O30" si="7">(O19*G9)/$O$3</f>
        <v>0.56818181818181812</v>
      </c>
      <c r="P26" s="6">
        <f t="shared" si="4"/>
        <v>0.89399744572158357</v>
      </c>
      <c r="Q26" s="5">
        <f t="shared" si="5"/>
        <v>0.72164948453608246</v>
      </c>
      <c r="R26" s="5">
        <f t="shared" si="6"/>
        <v>0.59473237043330485</v>
      </c>
    </row>
    <row r="27" spans="2:18" ht="15.75" thickBot="1" x14ac:dyDescent="0.3">
      <c r="L27" s="27"/>
      <c r="M27" t="s">
        <v>15</v>
      </c>
      <c r="N27" s="6">
        <f t="shared" si="3"/>
        <v>0.85202558635394476</v>
      </c>
      <c r="O27" s="5">
        <f t="shared" si="7"/>
        <v>0.64870129870129878</v>
      </c>
      <c r="P27" s="5">
        <f t="shared" si="4"/>
        <v>0.51034482758620692</v>
      </c>
      <c r="Q27" s="5">
        <f t="shared" si="5"/>
        <v>0.82391752577319599</v>
      </c>
      <c r="R27" s="5">
        <f t="shared" si="6"/>
        <v>0.67901444350042472</v>
      </c>
    </row>
    <row r="28" spans="2:18" ht="15.75" thickBot="1" x14ac:dyDescent="0.3">
      <c r="L28" s="27"/>
      <c r="M28" t="s">
        <v>16</v>
      </c>
      <c r="N28" s="5">
        <f t="shared" si="3"/>
        <v>1.023454157782516</v>
      </c>
      <c r="O28" s="5">
        <f t="shared" si="7"/>
        <v>0.77922077922077915</v>
      </c>
      <c r="P28" s="5">
        <f t="shared" si="4"/>
        <v>0.6130268199233716</v>
      </c>
      <c r="Q28" s="6">
        <f t="shared" si="5"/>
        <v>0.98969072164948457</v>
      </c>
      <c r="R28" s="5">
        <f t="shared" si="6"/>
        <v>0.81563296516567518</v>
      </c>
    </row>
    <row r="29" spans="2:18" ht="15.75" thickBot="1" x14ac:dyDescent="0.3">
      <c r="L29" s="27"/>
      <c r="M29" t="s">
        <v>17</v>
      </c>
      <c r="N29" s="5">
        <f t="shared" si="3"/>
        <v>0.51172707889125801</v>
      </c>
      <c r="O29" s="5">
        <f t="shared" si="7"/>
        <v>0.77922077922077915</v>
      </c>
      <c r="P29" s="5">
        <f t="shared" si="4"/>
        <v>0.91954022988505735</v>
      </c>
      <c r="Q29" s="6">
        <f t="shared" si="5"/>
        <v>0.98969072164948457</v>
      </c>
      <c r="R29" s="5">
        <f t="shared" si="6"/>
        <v>0.81563296516567518</v>
      </c>
    </row>
    <row r="30" spans="2:18" ht="15.75" thickBot="1" x14ac:dyDescent="0.3">
      <c r="L30" s="27"/>
      <c r="M30" t="s">
        <v>18</v>
      </c>
      <c r="N30" s="6">
        <f t="shared" si="3"/>
        <v>0.85287846481876339</v>
      </c>
      <c r="O30" s="5">
        <f t="shared" si="7"/>
        <v>0.64935064935064934</v>
      </c>
      <c r="P30" s="5">
        <f t="shared" si="4"/>
        <v>0.51085568326947639</v>
      </c>
      <c r="Q30" s="5">
        <f t="shared" si="5"/>
        <v>0.82474226804123718</v>
      </c>
      <c r="R30" s="5">
        <f t="shared" si="6"/>
        <v>0.67969413763806275</v>
      </c>
    </row>
    <row r="34" spans="11:18" x14ac:dyDescent="0.25">
      <c r="K34" s="27" t="s">
        <v>31</v>
      </c>
      <c r="L34" t="s">
        <v>0</v>
      </c>
      <c r="M34" t="s">
        <v>1</v>
      </c>
      <c r="P34" t="s">
        <v>35</v>
      </c>
    </row>
    <row r="35" spans="11:18" x14ac:dyDescent="0.25">
      <c r="K35" s="27"/>
      <c r="L35">
        <v>1</v>
      </c>
      <c r="M35" t="s">
        <v>6</v>
      </c>
      <c r="P35">
        <v>1</v>
      </c>
      <c r="Q35" t="s">
        <v>7</v>
      </c>
    </row>
    <row r="36" spans="11:18" x14ac:dyDescent="0.25">
      <c r="K36" s="27"/>
      <c r="L36">
        <v>2</v>
      </c>
      <c r="M36" t="s">
        <v>8</v>
      </c>
      <c r="P36">
        <v>2</v>
      </c>
      <c r="Q36" t="s">
        <v>19</v>
      </c>
    </row>
    <row r="37" spans="11:18" x14ac:dyDescent="0.25">
      <c r="K37" s="27"/>
      <c r="L37">
        <v>3</v>
      </c>
      <c r="M37" t="s">
        <v>9</v>
      </c>
    </row>
    <row r="38" spans="11:18" x14ac:dyDescent="0.25">
      <c r="K38" s="27"/>
      <c r="L38">
        <v>4</v>
      </c>
      <c r="M38" t="s">
        <v>10</v>
      </c>
    </row>
    <row r="39" spans="11:18" x14ac:dyDescent="0.25">
      <c r="K39" s="27"/>
      <c r="L39">
        <v>5</v>
      </c>
      <c r="M39" t="s">
        <v>11</v>
      </c>
    </row>
    <row r="40" spans="11:18" ht="15.75" thickBot="1" x14ac:dyDescent="0.3"/>
    <row r="41" spans="11:18" ht="15.75" thickBot="1" x14ac:dyDescent="0.3">
      <c r="L41" s="16" t="s">
        <v>0</v>
      </c>
      <c r="M41" s="16" t="s">
        <v>32</v>
      </c>
      <c r="N41" s="16" t="s">
        <v>33</v>
      </c>
      <c r="O41" s="16" t="s">
        <v>34</v>
      </c>
      <c r="P41" s="15" t="s">
        <v>36</v>
      </c>
    </row>
    <row r="42" spans="11:18" x14ac:dyDescent="0.25">
      <c r="L42" s="7">
        <v>1</v>
      </c>
      <c r="M42" s="17" t="s">
        <v>26</v>
      </c>
      <c r="N42" s="7">
        <v>1</v>
      </c>
      <c r="O42" s="7">
        <v>1</v>
      </c>
      <c r="P42" s="12">
        <v>1</v>
      </c>
    </row>
    <row r="43" spans="11:18" x14ac:dyDescent="0.25">
      <c r="L43" s="8">
        <v>2</v>
      </c>
      <c r="M43" s="9" t="s">
        <v>27</v>
      </c>
      <c r="N43" s="8">
        <v>2</v>
      </c>
      <c r="O43" s="8">
        <v>1</v>
      </c>
      <c r="P43" s="13">
        <v>1</v>
      </c>
      <c r="R43" t="s">
        <v>37</v>
      </c>
    </row>
    <row r="44" spans="11:18" x14ac:dyDescent="0.25">
      <c r="L44" s="8">
        <v>3</v>
      </c>
      <c r="M44" s="9" t="s">
        <v>28</v>
      </c>
      <c r="N44" s="8">
        <v>3</v>
      </c>
      <c r="O44" s="8">
        <v>1</v>
      </c>
      <c r="P44" s="13">
        <v>1</v>
      </c>
    </row>
    <row r="45" spans="11:18" x14ac:dyDescent="0.25">
      <c r="L45" s="8">
        <v>4</v>
      </c>
      <c r="M45" s="9" t="s">
        <v>29</v>
      </c>
      <c r="N45" s="8">
        <v>4</v>
      </c>
      <c r="O45" s="8">
        <v>1</v>
      </c>
      <c r="P45" s="13">
        <v>1</v>
      </c>
    </row>
    <row r="46" spans="11:18" x14ac:dyDescent="0.25">
      <c r="L46" s="8">
        <v>5</v>
      </c>
      <c r="M46" s="9" t="s">
        <v>30</v>
      </c>
      <c r="N46" s="8">
        <v>5</v>
      </c>
      <c r="O46" s="8">
        <v>1</v>
      </c>
      <c r="P46" s="13">
        <v>1</v>
      </c>
    </row>
    <row r="47" spans="11:18" x14ac:dyDescent="0.25">
      <c r="L47" s="8">
        <v>6</v>
      </c>
      <c r="M47" s="9" t="s">
        <v>13</v>
      </c>
      <c r="N47" s="8">
        <v>4</v>
      </c>
      <c r="O47" s="8">
        <v>8</v>
      </c>
      <c r="P47" s="13">
        <v>2</v>
      </c>
    </row>
    <row r="48" spans="11:18" x14ac:dyDescent="0.25">
      <c r="L48" s="8">
        <v>7</v>
      </c>
      <c r="M48" s="9" t="s">
        <v>14</v>
      </c>
      <c r="N48" s="8">
        <v>3</v>
      </c>
      <c r="O48" s="8">
        <v>2</v>
      </c>
      <c r="P48" s="13">
        <v>2</v>
      </c>
    </row>
    <row r="49" spans="12:16" x14ac:dyDescent="0.25">
      <c r="L49" s="8">
        <v>8</v>
      </c>
      <c r="M49" s="9" t="s">
        <v>15</v>
      </c>
      <c r="N49" s="8">
        <v>1</v>
      </c>
      <c r="O49" s="8">
        <v>1</v>
      </c>
      <c r="P49" s="13">
        <v>2</v>
      </c>
    </row>
    <row r="50" spans="12:16" x14ac:dyDescent="0.25">
      <c r="L50" s="8">
        <v>9</v>
      </c>
      <c r="M50" s="9" t="s">
        <v>16</v>
      </c>
      <c r="N50" s="8">
        <v>4</v>
      </c>
      <c r="O50" s="8">
        <v>2</v>
      </c>
      <c r="P50" s="13">
        <v>2</v>
      </c>
    </row>
    <row r="51" spans="12:16" x14ac:dyDescent="0.25">
      <c r="L51" s="8">
        <v>10</v>
      </c>
      <c r="M51" s="9" t="s">
        <v>17</v>
      </c>
      <c r="N51" s="8">
        <v>4</v>
      </c>
      <c r="O51" s="8">
        <v>8</v>
      </c>
      <c r="P51" s="13">
        <v>2</v>
      </c>
    </row>
    <row r="52" spans="12:16" ht="15.75" thickBot="1" x14ac:dyDescent="0.3">
      <c r="L52" s="11">
        <v>11</v>
      </c>
      <c r="M52" s="10" t="s">
        <v>18</v>
      </c>
      <c r="N52" s="11">
        <v>1</v>
      </c>
      <c r="O52" s="11">
        <v>2</v>
      </c>
      <c r="P52" s="14">
        <v>2</v>
      </c>
    </row>
  </sheetData>
  <mergeCells count="2">
    <mergeCell ref="L25:L30"/>
    <mergeCell ref="K34:K39"/>
  </mergeCells>
  <conditionalFormatting sqref="N27">
    <cfRule type="colorScale" priority="7">
      <colorScale>
        <cfvo type="min"/>
        <cfvo type="max"/>
        <color theme="0"/>
        <color theme="3" tint="0.499984740745262"/>
      </colorScale>
    </cfRule>
    <cfRule type="colorScale" priority="8">
      <colorScale>
        <cfvo type="min"/>
        <cfvo type="max"/>
        <color theme="0"/>
        <color theme="3" tint="0.749992370372631"/>
      </colorScale>
    </cfRule>
    <cfRule type="colorScale" priority="9">
      <colorScale>
        <cfvo type="min"/>
        <cfvo type="max"/>
        <color rgb="FFFF7128"/>
        <color rgb="FFFFEF9C"/>
      </colorScale>
    </cfRule>
  </conditionalFormatting>
  <conditionalFormatting sqref="N30">
    <cfRule type="colorScale" priority="4">
      <colorScale>
        <cfvo type="min"/>
        <cfvo type="max"/>
        <color theme="0"/>
        <color theme="3" tint="0.499984740745262"/>
      </colorScale>
    </cfRule>
    <cfRule type="colorScale" priority="5">
      <colorScale>
        <cfvo type="min"/>
        <cfvo type="max"/>
        <color theme="0"/>
        <color theme="3" tint="0.749992370372631"/>
      </colorScale>
    </cfRule>
    <cfRule type="colorScale" priority="6">
      <colorScale>
        <cfvo type="min"/>
        <cfvo type="max"/>
        <color rgb="FFFF7128"/>
        <color rgb="FFFFEF9C"/>
      </colorScale>
    </cfRule>
  </conditionalFormatting>
  <conditionalFormatting sqref="N25:R25 R26:R30">
    <cfRule type="colorScale" priority="22">
      <colorScale>
        <cfvo type="min"/>
        <cfvo type="max"/>
        <color theme="0"/>
        <color theme="3" tint="0.499984740745262"/>
      </colorScale>
    </cfRule>
    <cfRule type="colorScale" priority="23">
      <colorScale>
        <cfvo type="min"/>
        <cfvo type="max"/>
        <color theme="0"/>
        <color theme="3" tint="0.749992370372631"/>
      </colorScale>
    </cfRule>
    <cfRule type="colorScale" priority="24">
      <colorScale>
        <cfvo type="min"/>
        <cfvo type="max"/>
        <color rgb="FFFF7128"/>
        <color rgb="FFFFEF9C"/>
      </colorScale>
    </cfRule>
  </conditionalFormatting>
  <conditionalFormatting sqref="O27:Q27 O30:Q30 N28:P29 N26:O26 Q26">
    <cfRule type="colorScale" priority="19">
      <colorScale>
        <cfvo type="min"/>
        <cfvo type="max"/>
        <color theme="0"/>
        <color theme="3" tint="0.499984740745262"/>
      </colorScale>
    </cfRule>
    <cfRule type="colorScale" priority="20">
      <colorScale>
        <cfvo type="min"/>
        <cfvo type="max"/>
        <color theme="0"/>
        <color theme="3" tint="0.749992370372631"/>
      </colorScale>
    </cfRule>
    <cfRule type="colorScale" priority="21">
      <colorScale>
        <cfvo type="min"/>
        <cfvo type="max"/>
        <color rgb="FFFF7128"/>
        <color rgb="FFFFEF9C"/>
      </colorScale>
    </cfRule>
  </conditionalFormatting>
  <conditionalFormatting sqref="P26">
    <cfRule type="colorScale" priority="10">
      <colorScale>
        <cfvo type="min"/>
        <cfvo type="max"/>
        <color theme="0"/>
        <color theme="3" tint="0.499984740745262"/>
      </colorScale>
    </cfRule>
    <cfRule type="colorScale" priority="11">
      <colorScale>
        <cfvo type="min"/>
        <cfvo type="max"/>
        <color theme="0"/>
        <color theme="3" tint="0.749992370372631"/>
      </colorScale>
    </cfRule>
    <cfRule type="colorScale" priority="12">
      <colorScale>
        <cfvo type="min"/>
        <cfvo type="max"/>
        <color rgb="FFFF7128"/>
        <color rgb="FFFFEF9C"/>
      </colorScale>
    </cfRule>
  </conditionalFormatting>
  <conditionalFormatting sqref="Q28">
    <cfRule type="colorScale" priority="16">
      <colorScale>
        <cfvo type="min"/>
        <cfvo type="max"/>
        <color theme="0"/>
        <color theme="3" tint="0.499984740745262"/>
      </colorScale>
    </cfRule>
    <cfRule type="colorScale" priority="17">
      <colorScale>
        <cfvo type="min"/>
        <cfvo type="max"/>
        <color theme="0"/>
        <color theme="3" tint="0.749992370372631"/>
      </colorScale>
    </cfRule>
    <cfRule type="colorScale" priority="18">
      <colorScale>
        <cfvo type="min"/>
        <cfvo type="max"/>
        <color rgb="FFFF7128"/>
        <color rgb="FFFFEF9C"/>
      </colorScale>
    </cfRule>
  </conditionalFormatting>
  <conditionalFormatting sqref="Q29">
    <cfRule type="colorScale" priority="13">
      <colorScale>
        <cfvo type="min"/>
        <cfvo type="max"/>
        <color theme="0"/>
        <color theme="3" tint="0.499984740745262"/>
      </colorScale>
    </cfRule>
    <cfRule type="colorScale" priority="14">
      <colorScale>
        <cfvo type="min"/>
        <cfvo type="max"/>
        <color theme="0"/>
        <color theme="3" tint="0.749992370372631"/>
      </colorScale>
    </cfRule>
    <cfRule type="colorScale" priority="15">
      <colorScale>
        <cfvo type="min"/>
        <cfvo type="max"/>
        <color rgb="FFFF7128"/>
        <color rgb="FFFFEF9C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14D7-4908-4B69-8B97-2FE5B87DEA2C}">
  <dimension ref="B2:P49"/>
  <sheetViews>
    <sheetView tabSelected="1" topLeftCell="A9" zoomScaleNormal="100" workbookViewId="0">
      <selection activeCell="F17" sqref="F17"/>
    </sheetView>
  </sheetViews>
  <sheetFormatPr defaultRowHeight="15" x14ac:dyDescent="0.25"/>
  <cols>
    <col min="2" max="2" width="10.7109375" customWidth="1"/>
    <col min="3" max="3" width="28.5703125" bestFit="1" customWidth="1"/>
    <col min="4" max="4" width="21.140625" bestFit="1" customWidth="1"/>
    <col min="5" max="5" width="18.5703125" bestFit="1" customWidth="1"/>
    <col min="6" max="6" width="21" customWidth="1"/>
    <col min="8" max="8" width="24.85546875" bestFit="1" customWidth="1"/>
    <col min="9" max="9" width="30.140625" customWidth="1"/>
    <col min="10" max="10" width="24.140625" customWidth="1"/>
    <col min="11" max="11" width="26.42578125" customWidth="1"/>
    <col min="12" max="12" width="12.85546875" bestFit="1" customWidth="1"/>
    <col min="13" max="13" width="36.42578125" customWidth="1"/>
    <col min="14" max="14" width="18.5703125" bestFit="1" customWidth="1"/>
    <col min="15" max="15" width="12" customWidth="1"/>
  </cols>
  <sheetData>
    <row r="2" spans="2:16" x14ac:dyDescent="0.25">
      <c r="M2" s="100"/>
      <c r="N2" s="101" t="s">
        <v>47</v>
      </c>
      <c r="O2" s="100"/>
      <c r="P2" s="100"/>
    </row>
    <row r="3" spans="2:16" x14ac:dyDescent="0.25">
      <c r="B3" s="2" t="s">
        <v>0</v>
      </c>
      <c r="C3" t="s">
        <v>1</v>
      </c>
      <c r="D3" s="1" t="s">
        <v>2</v>
      </c>
      <c r="E3" s="1" t="s">
        <v>3</v>
      </c>
      <c r="F3" t="s">
        <v>4</v>
      </c>
      <c r="I3" s="1" t="s">
        <v>38</v>
      </c>
      <c r="J3" s="1" t="s">
        <v>24</v>
      </c>
      <c r="M3" s="101" t="s">
        <v>46</v>
      </c>
      <c r="N3" s="101" t="s">
        <v>49</v>
      </c>
      <c r="O3" s="101" t="s">
        <v>5</v>
      </c>
      <c r="P3" s="101" t="s">
        <v>39</v>
      </c>
    </row>
    <row r="4" spans="2:16" x14ac:dyDescent="0.25">
      <c r="B4">
        <v>1</v>
      </c>
      <c r="C4" t="s">
        <v>6</v>
      </c>
      <c r="D4" s="1">
        <v>35</v>
      </c>
      <c r="E4" s="1">
        <v>70</v>
      </c>
      <c r="F4" t="s">
        <v>7</v>
      </c>
      <c r="I4" s="1">
        <v>1</v>
      </c>
      <c r="J4" s="1">
        <f>+P4-I4/100*D4/100-I4/100*E4/100</f>
        <v>0.23449999999999999</v>
      </c>
      <c r="K4" s="100" t="s">
        <v>6</v>
      </c>
      <c r="L4" t="s">
        <v>40</v>
      </c>
      <c r="M4" s="19">
        <v>7.38</v>
      </c>
      <c r="N4" s="26">
        <v>1000</v>
      </c>
      <c r="O4" s="1">
        <v>2.92</v>
      </c>
      <c r="P4" s="3">
        <f>+D4/100*E4/100</f>
        <v>0.245</v>
      </c>
    </row>
    <row r="5" spans="2:16" x14ac:dyDescent="0.25">
      <c r="B5">
        <v>2</v>
      </c>
      <c r="C5" t="s">
        <v>8</v>
      </c>
      <c r="D5" s="1">
        <v>40</v>
      </c>
      <c r="E5" s="1">
        <v>80</v>
      </c>
      <c r="F5" t="s">
        <v>7</v>
      </c>
      <c r="I5" s="1">
        <v>1</v>
      </c>
      <c r="J5" s="1">
        <f>+P5-0.01*D5/100-0.01*E5/100</f>
        <v>0.308</v>
      </c>
      <c r="K5" s="100" t="s">
        <v>8</v>
      </c>
      <c r="L5" t="s">
        <v>41</v>
      </c>
      <c r="M5" s="19">
        <v>10.34</v>
      </c>
      <c r="N5" s="26">
        <v>600</v>
      </c>
      <c r="O5" s="1">
        <v>2.92</v>
      </c>
      <c r="P5" s="3">
        <f>+D5/100*E5/100</f>
        <v>0.32</v>
      </c>
    </row>
    <row r="6" spans="2:16" x14ac:dyDescent="0.25">
      <c r="B6">
        <v>3</v>
      </c>
      <c r="C6" t="s">
        <v>9</v>
      </c>
      <c r="D6" s="1">
        <v>45</v>
      </c>
      <c r="E6" s="1">
        <v>90</v>
      </c>
      <c r="F6" t="s">
        <v>7</v>
      </c>
      <c r="I6" s="1">
        <v>1</v>
      </c>
      <c r="J6" s="1">
        <f>+P6-0.01*D6/100-0.01*E6/100</f>
        <v>0.39150000000000001</v>
      </c>
      <c r="K6" s="100" t="s">
        <v>9</v>
      </c>
      <c r="L6" t="s">
        <v>42</v>
      </c>
      <c r="M6" s="19">
        <v>10.34</v>
      </c>
      <c r="N6" s="26">
        <v>600</v>
      </c>
      <c r="O6" s="1">
        <v>2.92</v>
      </c>
      <c r="P6" s="3">
        <f>+D6/100*E6/100</f>
        <v>0.40500000000000003</v>
      </c>
    </row>
    <row r="7" spans="2:16" x14ac:dyDescent="0.25">
      <c r="B7">
        <v>4</v>
      </c>
      <c r="C7" t="s">
        <v>10</v>
      </c>
      <c r="D7" s="1">
        <v>50</v>
      </c>
      <c r="E7" s="1">
        <v>100</v>
      </c>
      <c r="F7" t="s">
        <v>7</v>
      </c>
      <c r="I7" s="1">
        <v>1</v>
      </c>
      <c r="J7" s="1">
        <f>+P7-0.01*D7/100-0.01*E7/100</f>
        <v>0.48499999999999999</v>
      </c>
      <c r="K7" s="100" t="s">
        <v>10</v>
      </c>
      <c r="L7" t="s">
        <v>43</v>
      </c>
      <c r="M7" s="19">
        <v>2.95</v>
      </c>
      <c r="N7" s="26">
        <v>2500</v>
      </c>
      <c r="O7" s="1">
        <v>2.92</v>
      </c>
      <c r="P7" s="3">
        <f>+D7/100*E7/100</f>
        <v>0.5</v>
      </c>
    </row>
    <row r="8" spans="2:16" x14ac:dyDescent="0.25">
      <c r="B8">
        <v>5</v>
      </c>
      <c r="C8" t="s">
        <v>11</v>
      </c>
      <c r="D8" s="1">
        <v>55</v>
      </c>
      <c r="E8" s="1">
        <v>110</v>
      </c>
      <c r="F8" t="s">
        <v>7</v>
      </c>
      <c r="I8" s="1">
        <v>1</v>
      </c>
      <c r="J8" s="1">
        <f>+P8-0.01*D8/100-0.01*E8/100</f>
        <v>0.58850000000000013</v>
      </c>
      <c r="K8" s="100" t="s">
        <v>11</v>
      </c>
      <c r="L8" t="s">
        <v>44</v>
      </c>
      <c r="M8" s="19">
        <v>0.59</v>
      </c>
      <c r="N8" s="26">
        <v>5000</v>
      </c>
      <c r="O8" s="1">
        <v>2.92</v>
      </c>
      <c r="P8" s="3">
        <f>+D8/100*E8/100</f>
        <v>0.60500000000000009</v>
      </c>
    </row>
    <row r="9" spans="2:16" ht="15.75" thickBot="1" x14ac:dyDescent="0.3">
      <c r="L9" t="s">
        <v>45</v>
      </c>
      <c r="M9" s="19">
        <v>0.88</v>
      </c>
      <c r="N9" s="26">
        <v>300</v>
      </c>
    </row>
    <row r="10" spans="2:16" ht="15.75" thickBot="1" x14ac:dyDescent="0.3">
      <c r="D10" t="s">
        <v>6</v>
      </c>
      <c r="F10" s="80">
        <v>60</v>
      </c>
    </row>
    <row r="11" spans="2:16" ht="21.75" thickBot="1" x14ac:dyDescent="0.4">
      <c r="C11" s="88">
        <v>4</v>
      </c>
    </row>
    <row r="12" spans="2:16" ht="21.75" thickBot="1" x14ac:dyDescent="0.4">
      <c r="D12" s="23"/>
      <c r="H12" s="88">
        <f>+C11</f>
        <v>4</v>
      </c>
    </row>
    <row r="13" spans="2:16" x14ac:dyDescent="0.25">
      <c r="C13" s="22"/>
      <c r="D13" s="23"/>
    </row>
    <row r="14" spans="2:16" ht="21" x14ac:dyDescent="0.35">
      <c r="C14" s="98" t="s">
        <v>40</v>
      </c>
      <c r="D14" s="106" t="s">
        <v>43</v>
      </c>
    </row>
    <row r="15" spans="2:16" ht="15.75" thickBot="1" x14ac:dyDescent="0.3">
      <c r="C15" s="23"/>
      <c r="D15" s="23"/>
    </row>
    <row r="16" spans="2:16" ht="19.5" thickBot="1" x14ac:dyDescent="0.35">
      <c r="C16" s="28" t="s">
        <v>48</v>
      </c>
      <c r="D16" s="29"/>
      <c r="H16" s="28" t="s">
        <v>52</v>
      </c>
      <c r="I16" s="29"/>
    </row>
    <row r="17" spans="3:13" ht="18.75" x14ac:dyDescent="0.3">
      <c r="C17" s="32">
        <f>+(VLOOKUP(C6,$K$4:$P$8,6,0)/$C$11)*VLOOKUP(C14,$L$4:$P$8,4,0)*IF(C11&gt;1,2,1)</f>
        <v>0.59130000000000005</v>
      </c>
      <c r="D17" s="33"/>
      <c r="E17" s="20"/>
      <c r="H17" s="32">
        <f>+(P6/$H$12)*VLOOKUP(C14,$L$4:$P$8,4,0)*IF(H12&gt;1,2,1)</f>
        <v>0.59130000000000005</v>
      </c>
      <c r="I17" s="33"/>
      <c r="J17" s="20"/>
      <c r="L17" s="99">
        <v>1000</v>
      </c>
      <c r="M17" s="99"/>
    </row>
    <row r="18" spans="3:13" x14ac:dyDescent="0.25">
      <c r="C18" s="24"/>
      <c r="D18" s="25"/>
      <c r="E18" s="21"/>
      <c r="H18" s="24"/>
      <c r="I18" s="25"/>
      <c r="J18" s="21"/>
    </row>
    <row r="19" spans="3:13" x14ac:dyDescent="0.25">
      <c r="C19" s="30">
        <v>0.2</v>
      </c>
      <c r="D19" s="31"/>
      <c r="H19" s="30">
        <v>0.2</v>
      </c>
      <c r="I19" s="31"/>
    </row>
    <row r="20" spans="3:13" ht="15.75" thickBot="1" x14ac:dyDescent="0.3">
      <c r="C20" s="24"/>
      <c r="D20" s="25"/>
      <c r="H20" s="24"/>
      <c r="I20" s="25"/>
    </row>
    <row r="21" spans="3:13" ht="16.5" thickBot="1" x14ac:dyDescent="0.3">
      <c r="C21" s="34">
        <f>SUM(C17:D19)</f>
        <v>0.79130000000000011</v>
      </c>
      <c r="D21" s="35"/>
      <c r="H21" s="34">
        <f>SUM(H17:I19)</f>
        <v>0.79130000000000011</v>
      </c>
      <c r="I21" s="35"/>
    </row>
    <row r="23" spans="3:13" ht="15.75" thickBot="1" x14ac:dyDescent="0.3"/>
    <row r="24" spans="3:13" x14ac:dyDescent="0.25">
      <c r="C24" s="84" t="str">
        <f>CONCATENATE("Custos de impressão + Corte para ",$C$28," 
capac_nominal: ",VLOOKUP($C$28,$L$4:$N$9,3,0)," chapa/hora
pedido de ",VLOOKUP($C$28,$L$4:$N$9,3,0)," caixas")</f>
        <v>Custos de impressão + Corte para Flexo 
capac_nominal: 1000 chapa/hora
pedido de 1000 caixas</v>
      </c>
      <c r="D24" s="82"/>
      <c r="E24" s="82"/>
      <c r="F24" s="85"/>
      <c r="H24" s="84" t="str">
        <f>CONCATENATE("Custos de impressão + Corte para ",$C$28," 
capac_nominal: ",VLOOKUP($C$28,$L$4:$N$9,3,0)," chapa/hora
pedido de ",L17," caixas")</f>
        <v>Custos de impressão + Corte para Flexo 
capac_nominal: 1000 chapa/hora
pedido de 1000 caixas</v>
      </c>
      <c r="I24" s="82"/>
      <c r="J24" s="82"/>
      <c r="K24" s="85"/>
      <c r="M24" t="s">
        <v>51</v>
      </c>
    </row>
    <row r="25" spans="3:13" ht="50.25" customHeight="1" thickBot="1" x14ac:dyDescent="0.3">
      <c r="C25" s="86"/>
      <c r="D25" s="83"/>
      <c r="E25" s="83"/>
      <c r="F25" s="87"/>
      <c r="H25" s="86"/>
      <c r="I25" s="83"/>
      <c r="J25" s="83"/>
      <c r="K25" s="87"/>
    </row>
    <row r="26" spans="3:13" ht="18.75" x14ac:dyDescent="0.3">
      <c r="C26" s="36" t="s">
        <v>50</v>
      </c>
      <c r="D26" s="37"/>
      <c r="E26" s="37"/>
      <c r="F26" s="38"/>
      <c r="H26" s="36" t="s">
        <v>50</v>
      </c>
      <c r="I26" s="37"/>
      <c r="J26" s="37"/>
      <c r="K26" s="38"/>
    </row>
    <row r="27" spans="3:13" x14ac:dyDescent="0.25">
      <c r="C27" s="39"/>
      <c r="E27" s="40"/>
      <c r="F27" s="41"/>
      <c r="H27" s="39"/>
      <c r="J27" s="40"/>
      <c r="K27" s="41"/>
      <c r="M27" t="s">
        <v>47</v>
      </c>
    </row>
    <row r="28" spans="3:13" x14ac:dyDescent="0.25">
      <c r="C28" s="108" t="str">
        <f>+C14</f>
        <v>Flexo</v>
      </c>
      <c r="D28" s="42">
        <f>+$F$10/VLOOKUP(C28,$L$4:$N$9,3,0)</f>
        <v>0.06</v>
      </c>
      <c r="E28" s="43">
        <f>+D28*VLOOKUP(C28,$L$4:$M$9,2,0)</f>
        <v>0.44279999999999997</v>
      </c>
      <c r="F28" s="44">
        <f>+$E$28/C11</f>
        <v>0.11069999999999999</v>
      </c>
      <c r="H28" s="81" t="str">
        <f>+C14</f>
        <v>Flexo</v>
      </c>
      <c r="I28" s="42">
        <f>+$F$10/VLOOKUP(H28,$L$4:$N$9,3,0)</f>
        <v>0.06</v>
      </c>
      <c r="J28" s="43">
        <f>+I28*VLOOKUP(H28,$L$4:$M$9,2,0)</f>
        <v>0.44279999999999997</v>
      </c>
      <c r="K28" s="44">
        <f>+$J$28/H12</f>
        <v>0.11069999999999999</v>
      </c>
      <c r="M28" s="89">
        <f>VLOOKUP(H28,$L$4:$N$9,3,0)</f>
        <v>1000</v>
      </c>
    </row>
    <row r="29" spans="3:13" x14ac:dyDescent="0.25">
      <c r="C29" s="66"/>
      <c r="D29" s="40"/>
      <c r="E29" s="40"/>
      <c r="F29" s="41"/>
      <c r="H29" s="66"/>
      <c r="I29" s="40"/>
      <c r="J29" s="40"/>
      <c r="K29" s="41"/>
      <c r="L29" s="97">
        <f>+M28*K28/M29</f>
        <v>0.11069999999999999</v>
      </c>
      <c r="M29" s="18">
        <f>+L17</f>
        <v>1000</v>
      </c>
    </row>
    <row r="30" spans="3:13" ht="15.75" thickBot="1" x14ac:dyDescent="0.3">
      <c r="C30" s="107" t="str">
        <f>IF(D14&lt;&gt;"",D14,"")</f>
        <v>Century</v>
      </c>
      <c r="D30" s="42">
        <f>IF(C30&lt;&gt;"",($F$10/VLOOKUP(C30,$L$4:$N$9,3,0)),0)</f>
        <v>2.4E-2</v>
      </c>
      <c r="E30" s="43">
        <f>IF(D30&gt;0,(D30*VLOOKUP(C30,$L$4:$M$9,2,0)),0)</f>
        <v>7.0800000000000002E-2</v>
      </c>
      <c r="F30" s="46">
        <f>+E30/$C$11*IF($C$11&gt;1,2,1)</f>
        <v>3.5400000000000001E-2</v>
      </c>
      <c r="H30" s="67" t="str">
        <f>IF(D14&lt;&gt;"",D14,"")</f>
        <v>Century</v>
      </c>
      <c r="I30" s="42">
        <f>IF(H30&lt;&gt;"",($F$10/VLOOKUP(H30,$L$4:$N$9,3,0)),0)</f>
        <v>2.4E-2</v>
      </c>
      <c r="J30" s="43">
        <f>IF(I30&gt;0,(I30*VLOOKUP(H30,$L$4:$M$9,2,0)),0)</f>
        <v>7.0800000000000002E-2</v>
      </c>
      <c r="K30" s="46">
        <f>+J30/$H$12*IF($H$12&gt;1,2,1)</f>
        <v>3.5400000000000001E-2</v>
      </c>
      <c r="M30" s="90"/>
    </row>
    <row r="31" spans="3:13" ht="16.5" thickBot="1" x14ac:dyDescent="0.3">
      <c r="C31" s="49">
        <f>SUM(F28:F30)</f>
        <v>0.14610000000000001</v>
      </c>
      <c r="D31" s="50"/>
      <c r="E31" s="47"/>
      <c r="F31" s="48"/>
      <c r="H31" s="49">
        <f>SUM(K28:K30)</f>
        <v>0.14610000000000001</v>
      </c>
      <c r="I31" s="50"/>
      <c r="J31" s="47"/>
      <c r="K31" s="48"/>
      <c r="M31" s="95">
        <f>+K30+L29</f>
        <v>0.14610000000000001</v>
      </c>
    </row>
    <row r="32" spans="3:13" ht="15.75" thickBot="1" x14ac:dyDescent="0.3">
      <c r="M32" s="94"/>
    </row>
    <row r="33" spans="3:16" ht="18.75" x14ac:dyDescent="0.3">
      <c r="C33" s="36" t="s">
        <v>44</v>
      </c>
      <c r="D33" s="37"/>
      <c r="E33" s="37"/>
      <c r="F33" s="38"/>
      <c r="H33" s="36" t="s">
        <v>44</v>
      </c>
      <c r="I33" s="37"/>
      <c r="J33" s="37"/>
      <c r="K33" s="38"/>
    </row>
    <row r="34" spans="3:16" x14ac:dyDescent="0.25">
      <c r="C34" s="39"/>
      <c r="D34" s="40"/>
      <c r="E34" s="40"/>
      <c r="F34" s="41"/>
      <c r="H34" s="39"/>
      <c r="I34" s="40"/>
      <c r="J34" s="40"/>
      <c r="K34" s="41"/>
    </row>
    <row r="35" spans="3:16" ht="15.75" thickBot="1" x14ac:dyDescent="0.3">
      <c r="C35" s="67" t="str">
        <f>+L8</f>
        <v>Seladora</v>
      </c>
      <c r="D35" s="64">
        <f>VLOOKUP(C35,$L$4:$N$9,3,0)</f>
        <v>5000</v>
      </c>
      <c r="E35" s="45">
        <f>+$F$10/VLOOKUP(C35,$L$4:$N$9,3,0)</f>
        <v>1.2E-2</v>
      </c>
      <c r="F35" s="65">
        <f>+E35*VLOOKUP(C35,$L$4:$M$9,2,0)</f>
        <v>7.0799999999999995E-3</v>
      </c>
      <c r="H35" s="67" t="str">
        <f>+L8</f>
        <v>Seladora</v>
      </c>
      <c r="I35" s="64">
        <f>VLOOKUP(H35,$L$4:$N$9,3,0)</f>
        <v>5000</v>
      </c>
      <c r="J35" s="45">
        <f>+$F$10/VLOOKUP(H35,$L$4:$N$9,3,0)</f>
        <v>1.2E-2</v>
      </c>
      <c r="K35" s="65">
        <f>+J35*VLOOKUP(H35,$L$4:$M$9,2,0)</f>
        <v>7.0799999999999995E-3</v>
      </c>
      <c r="M35" s="91"/>
    </row>
    <row r="36" spans="3:16" ht="16.5" thickBot="1" x14ac:dyDescent="0.3">
      <c r="C36" s="102">
        <f>SUM(F35)</f>
        <v>7.0799999999999995E-3</v>
      </c>
      <c r="D36" s="103"/>
      <c r="E36" s="103"/>
      <c r="F36" s="104"/>
      <c r="H36" s="68">
        <f>SUM(K35)</f>
        <v>7.0799999999999995E-3</v>
      </c>
      <c r="I36" s="69"/>
      <c r="J36" s="69"/>
      <c r="K36" s="70"/>
      <c r="M36" s="96">
        <f>+H36</f>
        <v>7.0799999999999995E-3</v>
      </c>
    </row>
    <row r="37" spans="3:16" x14ac:dyDescent="0.25">
      <c r="C37" s="105">
        <f>+C36+C31</f>
        <v>0.15318000000000001</v>
      </c>
      <c r="D37" s="105"/>
      <c r="E37" s="105"/>
      <c r="F37" s="105"/>
      <c r="H37" s="105">
        <f>+H36+H31</f>
        <v>0.15318000000000001</v>
      </c>
      <c r="I37" s="105"/>
      <c r="J37" s="105"/>
      <c r="K37" s="105"/>
    </row>
    <row r="38" spans="3:16" ht="15.75" thickBot="1" x14ac:dyDescent="0.3"/>
    <row r="39" spans="3:16" ht="18.75" customHeight="1" thickBot="1" x14ac:dyDescent="0.3">
      <c r="C39" s="52">
        <v>0.3</v>
      </c>
      <c r="D39" s="53"/>
      <c r="E39" s="53"/>
      <c r="F39" s="54"/>
      <c r="H39" s="52">
        <v>0.3</v>
      </c>
      <c r="I39" s="53"/>
      <c r="J39" s="53"/>
      <c r="K39" s="54"/>
      <c r="M39" s="51">
        <f>+H39</f>
        <v>0.3</v>
      </c>
    </row>
    <row r="40" spans="3:16" ht="15.75" thickBot="1" x14ac:dyDescent="0.3"/>
    <row r="41" spans="3:16" ht="15.75" thickBot="1" x14ac:dyDescent="0.3">
      <c r="C41" s="55">
        <f>+C21+C31+C36+C39</f>
        <v>1.24448</v>
      </c>
      <c r="D41" s="56"/>
      <c r="E41" s="56"/>
      <c r="F41" s="57"/>
      <c r="H41" s="55">
        <f>+H21+H31+H36+H39</f>
        <v>1.24448</v>
      </c>
      <c r="I41" s="56"/>
      <c r="J41" s="56"/>
      <c r="K41" s="57"/>
      <c r="M41" s="55">
        <f>+H21+M31+M36+M39</f>
        <v>1.24448</v>
      </c>
      <c r="N41" s="56"/>
      <c r="O41" s="56"/>
      <c r="P41" s="57"/>
    </row>
    <row r="42" spans="3:16" ht="15.75" thickBot="1" x14ac:dyDescent="0.3"/>
    <row r="43" spans="3:16" ht="16.5" thickBot="1" x14ac:dyDescent="0.3">
      <c r="C43" s="58">
        <v>0.1</v>
      </c>
      <c r="D43" s="59"/>
      <c r="E43" s="59"/>
      <c r="F43" s="60"/>
      <c r="H43" s="58">
        <v>0.1</v>
      </c>
      <c r="I43" s="59"/>
      <c r="J43" s="59"/>
      <c r="K43" s="60"/>
      <c r="M43" s="92">
        <f>+H43</f>
        <v>0.1</v>
      </c>
    </row>
    <row r="44" spans="3:16" ht="15.75" thickBot="1" x14ac:dyDescent="0.3"/>
    <row r="45" spans="3:16" x14ac:dyDescent="0.25">
      <c r="C45" s="73" t="str">
        <f>CONCATENATE("Custos de impressão + Corte para ",$C$28," - capac_nominal: ",VLOOKUP($C$28,$L$4:$N$9,3,0)," chapa/hora")</f>
        <v>Custos de impressão + Corte para Flexo - capac_nominal: 1000 chapa/hora</v>
      </c>
      <c r="D45" s="74"/>
      <c r="E45" s="74"/>
      <c r="F45" s="75"/>
      <c r="H45" s="73" t="str">
        <f>CONCATENATE("Custos de impressão + Corte para ",H28," - capac_nominal: ",VLOOKUP(H28,$L$4:$N$9,3,0)," chapa/hora")</f>
        <v>Custos de impressão + Corte para Flexo - capac_nominal: 1000 chapa/hora</v>
      </c>
      <c r="I45" s="74"/>
      <c r="J45" s="74"/>
      <c r="K45" s="75"/>
    </row>
    <row r="46" spans="3:16" x14ac:dyDescent="0.25">
      <c r="C46" s="76" t="str">
        <f>CONCATENATE("Custos de Corte para ",C30," - capac_nominal: ",VLOOKUP(C30,$L$4:$N$9,3,0)," chapa/hora")</f>
        <v>Custos de Corte para Century - capac_nominal: 2500 chapa/hora</v>
      </c>
      <c r="D46" s="71"/>
      <c r="E46" s="71"/>
      <c r="F46" s="77"/>
      <c r="H46" s="76" t="str">
        <f>CONCATENATE("Custos de Corte para ",H30," - capac_nominal: ",VLOOKUP(H30,$L$4:$N$9,3,0)," chapa/hora")</f>
        <v>Custos de Corte para Century - capac_nominal: 2500 chapa/hora</v>
      </c>
      <c r="I46" s="71"/>
      <c r="J46" s="71"/>
      <c r="K46" s="77"/>
    </row>
    <row r="47" spans="3:16" ht="15.75" thickBot="1" x14ac:dyDescent="0.3">
      <c r="C47" s="78" t="str">
        <f>CONCATENATE("Custos de Embalagem para ",C35," - capac_nominal: ",VLOOKUP(C35,$L$4:$N$9,3,0)," chapa/hora")</f>
        <v>Custos de Embalagem para Seladora - capac_nominal: 5000 chapa/hora</v>
      </c>
      <c r="D47" s="72"/>
      <c r="E47" s="72"/>
      <c r="F47" s="79"/>
      <c r="H47" s="78" t="str">
        <f>CONCATENATE("Custos de Embalagem para ",H35," - capac_nominal: ",VLOOKUP(H35,$L$4:$N$9,3,0)," chapa/hora")</f>
        <v>Custos de Embalagem para Seladora - capac_nominal: 5000 chapa/hora</v>
      </c>
      <c r="I47" s="72"/>
      <c r="J47" s="72"/>
      <c r="K47" s="79"/>
    </row>
    <row r="48" spans="3:16" ht="19.5" thickBot="1" x14ac:dyDescent="0.35">
      <c r="C48" s="61">
        <f>+C41/(1-C43)</f>
        <v>1.3827555555555555</v>
      </c>
      <c r="D48" s="62"/>
      <c r="E48" s="62"/>
      <c r="F48" s="63"/>
      <c r="H48" s="61">
        <f>+H41/(1-H43)</f>
        <v>1.3827555555555555</v>
      </c>
      <c r="I48" s="62"/>
      <c r="J48" s="62"/>
      <c r="K48" s="63"/>
      <c r="M48" s="61">
        <f>+M41/(1-M43)</f>
        <v>1.3827555555555555</v>
      </c>
      <c r="N48" s="62"/>
      <c r="O48" s="62"/>
      <c r="P48" s="63"/>
    </row>
    <row r="49" spans="12:12" x14ac:dyDescent="0.25">
      <c r="L49" s="93">
        <f>(M48-H48)/H48</f>
        <v>0</v>
      </c>
    </row>
  </sheetData>
  <mergeCells count="37">
    <mergeCell ref="M41:P41"/>
    <mergeCell ref="M48:P48"/>
    <mergeCell ref="L17:M17"/>
    <mergeCell ref="C37:F37"/>
    <mergeCell ref="H37:K37"/>
    <mergeCell ref="H43:K43"/>
    <mergeCell ref="H45:K45"/>
    <mergeCell ref="H46:K46"/>
    <mergeCell ref="H47:K47"/>
    <mergeCell ref="H48:K48"/>
    <mergeCell ref="H31:I31"/>
    <mergeCell ref="H33:K33"/>
    <mergeCell ref="H36:K36"/>
    <mergeCell ref="H39:K39"/>
    <mergeCell ref="H41:K41"/>
    <mergeCell ref="H16:I16"/>
    <mergeCell ref="H17:I17"/>
    <mergeCell ref="H19:I19"/>
    <mergeCell ref="H21:I21"/>
    <mergeCell ref="H26:K26"/>
    <mergeCell ref="H24:K25"/>
    <mergeCell ref="C43:F43"/>
    <mergeCell ref="C48:F48"/>
    <mergeCell ref="C33:F33"/>
    <mergeCell ref="C36:F36"/>
    <mergeCell ref="C45:F45"/>
    <mergeCell ref="C46:F46"/>
    <mergeCell ref="C47:F47"/>
    <mergeCell ref="C31:D31"/>
    <mergeCell ref="C39:F39"/>
    <mergeCell ref="C41:F41"/>
    <mergeCell ref="C19:D19"/>
    <mergeCell ref="C17:D17"/>
    <mergeCell ref="C21:D21"/>
    <mergeCell ref="C16:D16"/>
    <mergeCell ref="C26:F26"/>
    <mergeCell ref="C24:F25"/>
  </mergeCells>
  <phoneticPr fontId="18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Preco_m2 esfiha e kibe Onda E</vt:lpstr>
      <vt:lpstr>Calculos 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Prado</dc:creator>
  <cp:lastModifiedBy>Antonio Prado</cp:lastModifiedBy>
  <dcterms:created xsi:type="dcterms:W3CDTF">2026-03-11T20:48:34Z</dcterms:created>
  <dcterms:modified xsi:type="dcterms:W3CDTF">2026-03-13T01:05:55Z</dcterms:modified>
</cp:coreProperties>
</file>