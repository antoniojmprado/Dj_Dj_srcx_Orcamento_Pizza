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ocuments\GitHub\DJ_OEE\appOEE\arquivos\"/>
    </mc:Choice>
  </mc:AlternateContent>
  <xr:revisionPtr revIDLastSave="0" documentId="8_{EA9D5049-4F87-4EE6-93E2-B6EBF7C16D00}" xr6:coauthVersionLast="47" xr6:coauthVersionMax="47" xr10:uidLastSave="{00000000-0000-0000-0000-000000000000}"/>
  <bookViews>
    <workbookView xWindow="28680" yWindow="-120" windowWidth="29040" windowHeight="15840" activeTab="1" xr2:uid="{13D0E45D-6F58-4C9C-AFC0-8774FA05271C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  <c r="I17" i="2"/>
  <c r="J17" i="2" s="1"/>
  <c r="I15" i="2"/>
  <c r="J15" i="2" s="1"/>
  <c r="J16" i="2"/>
  <c r="I13" i="2"/>
  <c r="J13" i="2" s="1"/>
  <c r="I18" i="2"/>
  <c r="J18" i="2" s="1"/>
  <c r="D19" i="2"/>
  <c r="K15" i="2" s="1"/>
  <c r="I14" i="2"/>
  <c r="J14" i="2" s="1"/>
  <c r="K13" i="2" l="1"/>
  <c r="K14" i="2"/>
  <c r="K16" i="2"/>
  <c r="L16" i="2" s="1"/>
  <c r="K18" i="2"/>
  <c r="L18" i="2" s="1"/>
  <c r="K17" i="2"/>
  <c r="L15" i="2"/>
  <c r="L17" i="2"/>
  <c r="L14" i="2"/>
  <c r="L13" i="2"/>
  <c r="A21" i="1"/>
  <c r="A20" i="1"/>
  <c r="G19" i="1"/>
  <c r="I20" i="1"/>
  <c r="D23" i="1"/>
</calcChain>
</file>

<file path=xl/sharedStrings.xml><?xml version="1.0" encoding="utf-8"?>
<sst xmlns="http://schemas.openxmlformats.org/spreadsheetml/2006/main" count="43" uniqueCount="30">
  <si>
    <t>preco_unit</t>
  </si>
  <si>
    <t>custo_unit_var</t>
  </si>
  <si>
    <t>turno_dia</t>
  </si>
  <si>
    <t>hora_turno</t>
  </si>
  <si>
    <t>dia_mes</t>
  </si>
  <si>
    <t>producao_mes</t>
  </si>
  <si>
    <t>mes_ano</t>
  </si>
  <si>
    <t>valor_ativos</t>
  </si>
  <si>
    <t>qt_pessoas</t>
  </si>
  <si>
    <t>salario_mensal</t>
  </si>
  <si>
    <t>deprec_ano_porc</t>
  </si>
  <si>
    <t>encargos_porc</t>
  </si>
  <si>
    <t>benefíc_porc</t>
  </si>
  <si>
    <t>outros_porc</t>
  </si>
  <si>
    <t>BD</t>
  </si>
  <si>
    <t>manut_mes</t>
  </si>
  <si>
    <t>retiradas sócio</t>
  </si>
  <si>
    <t>id</t>
  </si>
  <si>
    <t>maquina_id</t>
  </si>
  <si>
    <t>valor_reposicao</t>
  </si>
  <si>
    <t>custo_minuto</t>
  </si>
  <si>
    <t xml:space="preserve">CF = </t>
  </si>
  <si>
    <t>h/mes</t>
  </si>
  <si>
    <t>min/mes</t>
  </si>
  <si>
    <t>%s/ativo</t>
  </si>
  <si>
    <t>Total</t>
  </si>
  <si>
    <t>hora_mes</t>
  </si>
  <si>
    <t>min_mes</t>
  </si>
  <si>
    <t>sem_mes</t>
  </si>
  <si>
    <t>dia_sem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</si>
</sst>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R$&quot;\ #,##0;\-&quot;R$&quot;\ #,##0"/>
    <numFmt numFmtId="43" formatCode="_-* #,##0.00_-;\-* #,##0.00_-;_-* &quot;-&quot;??_-;_-@_-"/>
    <numFmt numFmtId="170" formatCode="&quot;R$&quot;\ #,##0.00"/>
    <numFmt numFmtId="171" formatCode="0.0\ &quot;turnos/dia&quot;"/>
    <numFmt numFmtId="172" formatCode="0.0\ &quot;dia/sem&quot;"/>
    <numFmt numFmtId="173" formatCode="0.0\ &quot;sem/mes&quot;"/>
    <numFmt numFmtId="174" formatCode="0.0\ &quot;h/turno&quot;"/>
    <numFmt numFmtId="175" formatCode="0.0\ &quot;h/mes&quot;"/>
    <numFmt numFmtId="177" formatCode="#,000\ &quot;min/mes&quot;"/>
    <numFmt numFmtId="178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5" fontId="0" fillId="0" borderId="0" xfId="1" applyNumberFormat="1" applyFont="1"/>
    <xf numFmtId="0" fontId="0" fillId="0" borderId="0" xfId="0" applyAlignment="1">
      <alignment horizontal="center"/>
    </xf>
    <xf numFmtId="3" fontId="0" fillId="0" borderId="0" xfId="0" applyNumberFormat="1" applyAlignment="1">
      <alignment vertical="center" wrapText="1"/>
    </xf>
    <xf numFmtId="5" fontId="0" fillId="0" borderId="0" xfId="0" applyNumberFormat="1"/>
    <xf numFmtId="0" fontId="0" fillId="0" borderId="0" xfId="0" applyAlignment="1">
      <alignment vertical="center" wrapText="1"/>
    </xf>
    <xf numFmtId="170" fontId="0" fillId="0" borderId="0" xfId="0" applyNumberFormat="1"/>
    <xf numFmtId="0" fontId="0" fillId="0" borderId="0" xfId="0" applyAlignment="1">
      <alignment horizontal="right"/>
    </xf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7" fontId="0" fillId="0" borderId="0" xfId="0" applyNumberFormat="1"/>
    <xf numFmtId="178" fontId="0" fillId="0" borderId="0" xfId="2" applyNumberFormat="1" applyFon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866E-5A4A-4455-A32A-BF8DE01418E5}">
  <dimension ref="A3:I23"/>
  <sheetViews>
    <sheetView topLeftCell="A19" zoomScale="145" zoomScaleNormal="145" workbookViewId="0">
      <selection activeCell="B3" sqref="B3"/>
    </sheetView>
  </sheetViews>
  <sheetFormatPr defaultRowHeight="15" x14ac:dyDescent="0.25"/>
  <cols>
    <col min="1" max="1" width="14.42578125" bestFit="1" customWidth="1"/>
    <col min="3" max="3" width="16.28515625" bestFit="1" customWidth="1"/>
    <col min="4" max="4" width="15.42578125" customWidth="1"/>
    <col min="5" max="5" width="9.140625" style="3"/>
    <col min="9" max="9" width="19.5703125" customWidth="1"/>
  </cols>
  <sheetData>
    <row r="3" spans="1:6" x14ac:dyDescent="0.25">
      <c r="C3" t="s">
        <v>0</v>
      </c>
      <c r="D3" s="1"/>
    </row>
    <row r="4" spans="1:6" x14ac:dyDescent="0.25">
      <c r="C4" t="s">
        <v>1</v>
      </c>
      <c r="D4" s="1"/>
    </row>
    <row r="5" spans="1:6" x14ac:dyDescent="0.25">
      <c r="C5" t="s">
        <v>2</v>
      </c>
      <c r="D5">
        <v>2</v>
      </c>
      <c r="E5" s="3" t="s">
        <v>14</v>
      </c>
    </row>
    <row r="6" spans="1:6" x14ac:dyDescent="0.25">
      <c r="A6" s="4"/>
      <c r="C6" t="s">
        <v>3</v>
      </c>
      <c r="D6">
        <v>8.8000000000000007</v>
      </c>
      <c r="E6" s="3" t="s">
        <v>14</v>
      </c>
    </row>
    <row r="7" spans="1:6" x14ac:dyDescent="0.25">
      <c r="A7" s="4"/>
      <c r="C7" t="s">
        <v>4</v>
      </c>
      <c r="D7">
        <v>21</v>
      </c>
      <c r="E7" s="3" t="s">
        <v>14</v>
      </c>
    </row>
    <row r="8" spans="1:6" x14ac:dyDescent="0.25">
      <c r="A8" s="4"/>
    </row>
    <row r="9" spans="1:6" x14ac:dyDescent="0.25">
      <c r="A9" s="4"/>
      <c r="C9" t="s">
        <v>5</v>
      </c>
      <c r="D9" s="1"/>
    </row>
    <row r="10" spans="1:6" x14ac:dyDescent="0.25">
      <c r="A10" s="4"/>
      <c r="C10" t="s">
        <v>6</v>
      </c>
      <c r="D10">
        <v>11.5</v>
      </c>
      <c r="E10" s="3" t="s">
        <v>14</v>
      </c>
    </row>
    <row r="11" spans="1:6" x14ac:dyDescent="0.25">
      <c r="A11" s="4"/>
      <c r="F11">
        <v>4300000</v>
      </c>
    </row>
    <row r="13" spans="1:6" x14ac:dyDescent="0.25">
      <c r="C13" t="s">
        <v>7</v>
      </c>
      <c r="D13" s="2">
        <v>10000000</v>
      </c>
      <c r="E13" s="3" t="s">
        <v>14</v>
      </c>
    </row>
    <row r="14" spans="1:6" x14ac:dyDescent="0.25">
      <c r="A14">
        <v>2835</v>
      </c>
      <c r="C14" t="s">
        <v>10</v>
      </c>
      <c r="D14">
        <v>8</v>
      </c>
      <c r="E14" s="3" t="s">
        <v>14</v>
      </c>
    </row>
    <row r="15" spans="1:6" x14ac:dyDescent="0.25">
      <c r="A15">
        <v>1795</v>
      </c>
      <c r="C15" t="s">
        <v>15</v>
      </c>
      <c r="D15" s="2">
        <v>25000</v>
      </c>
      <c r="E15" s="3" t="s">
        <v>14</v>
      </c>
    </row>
    <row r="16" spans="1:6" x14ac:dyDescent="0.25">
      <c r="A16">
        <v>1695</v>
      </c>
    </row>
    <row r="17" spans="1:9" x14ac:dyDescent="0.25">
      <c r="A17">
        <v>1920</v>
      </c>
      <c r="C17" t="s">
        <v>8</v>
      </c>
      <c r="D17">
        <v>65</v>
      </c>
      <c r="E17" s="3" t="s">
        <v>14</v>
      </c>
      <c r="I17">
        <v>20000000</v>
      </c>
    </row>
    <row r="18" spans="1:9" x14ac:dyDescent="0.25">
      <c r="A18">
        <v>2650</v>
      </c>
      <c r="C18" t="s">
        <v>9</v>
      </c>
      <c r="D18" s="2">
        <v>2200</v>
      </c>
      <c r="E18" s="3" t="s">
        <v>14</v>
      </c>
    </row>
    <row r="19" spans="1:9" x14ac:dyDescent="0.25">
      <c r="A19">
        <v>2045</v>
      </c>
      <c r="C19" t="s">
        <v>11</v>
      </c>
      <c r="D19">
        <v>67</v>
      </c>
      <c r="E19" s="3" t="s">
        <v>14</v>
      </c>
      <c r="G19">
        <f>300000+91000+305809</f>
        <v>696809</v>
      </c>
    </row>
    <row r="20" spans="1:9" x14ac:dyDescent="0.25">
      <c r="A20">
        <f>SUM(A14:A19)</f>
        <v>12940</v>
      </c>
      <c r="C20" t="s">
        <v>12</v>
      </c>
      <c r="D20">
        <v>1</v>
      </c>
      <c r="E20" s="3" t="s">
        <v>14</v>
      </c>
      <c r="I20">
        <f>300000+140000*0.65+305809</f>
        <v>696809</v>
      </c>
    </row>
    <row r="21" spans="1:9" x14ac:dyDescent="0.25">
      <c r="A21">
        <f>+A20/60</f>
        <v>215.66666666666666</v>
      </c>
      <c r="C21" t="s">
        <v>13</v>
      </c>
      <c r="D21">
        <v>5</v>
      </c>
      <c r="E21" s="3" t="s">
        <v>14</v>
      </c>
    </row>
    <row r="22" spans="1:9" x14ac:dyDescent="0.25">
      <c r="C22" t="s">
        <v>16</v>
      </c>
      <c r="D22">
        <v>5</v>
      </c>
    </row>
    <row r="23" spans="1:9" x14ac:dyDescent="0.25">
      <c r="D23" s="5">
        <f>+D17*D18/(1+D19/100)*(1+D20/100)*(1+D21/100)+$F$11*(D22/100)</f>
        <v>305809.28143712576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45F0-BB84-47D3-863C-9ED12DC61DAA}">
  <dimension ref="B8:L19"/>
  <sheetViews>
    <sheetView tabSelected="1" workbookViewId="0">
      <selection activeCell="L13" sqref="L13:M18"/>
    </sheetView>
  </sheetViews>
  <sheetFormatPr defaultRowHeight="15" x14ac:dyDescent="0.25"/>
  <cols>
    <col min="4" max="4" width="15.42578125" customWidth="1"/>
    <col min="5" max="10" width="14.5703125" customWidth="1"/>
    <col min="12" max="12" width="13.140625" bestFit="1" customWidth="1"/>
  </cols>
  <sheetData>
    <row r="8" spans="2:12" x14ac:dyDescent="0.25">
      <c r="D8" t="s">
        <v>22</v>
      </c>
    </row>
    <row r="9" spans="2:12" x14ac:dyDescent="0.25">
      <c r="D9" t="s">
        <v>23</v>
      </c>
    </row>
    <row r="10" spans="2:12" x14ac:dyDescent="0.25">
      <c r="F10" s="8" t="s">
        <v>21</v>
      </c>
      <c r="G10" s="7">
        <v>628123.88</v>
      </c>
    </row>
    <row r="12" spans="2:12" ht="19.5" customHeight="1" x14ac:dyDescent="0.25">
      <c r="B12" t="s">
        <v>17</v>
      </c>
      <c r="C12" t="s">
        <v>18</v>
      </c>
      <c r="D12" t="s">
        <v>19</v>
      </c>
      <c r="E12" s="16" t="s">
        <v>2</v>
      </c>
      <c r="F12" s="16" t="s">
        <v>3</v>
      </c>
      <c r="G12" s="16" t="s">
        <v>29</v>
      </c>
      <c r="H12" s="16" t="s">
        <v>28</v>
      </c>
      <c r="I12" s="17" t="s">
        <v>26</v>
      </c>
      <c r="J12" s="17" t="s">
        <v>27</v>
      </c>
      <c r="K12" s="18" t="s">
        <v>24</v>
      </c>
      <c r="L12" s="18" t="s">
        <v>20</v>
      </c>
    </row>
    <row r="13" spans="2:12" ht="19.5" customHeight="1" x14ac:dyDescent="0.25">
      <c r="B13" s="6">
        <v>4</v>
      </c>
      <c r="C13" s="6">
        <v>7</v>
      </c>
      <c r="D13" s="7">
        <v>2500000</v>
      </c>
      <c r="E13" s="9">
        <v>2</v>
      </c>
      <c r="F13" s="12">
        <v>8.8000000000000007</v>
      </c>
      <c r="G13" s="10">
        <v>5</v>
      </c>
      <c r="H13" s="11">
        <v>4.37</v>
      </c>
      <c r="I13" s="13">
        <f>+H13*G13*F13*E13</f>
        <v>384.56000000000006</v>
      </c>
      <c r="J13" s="14">
        <f>+I13*60</f>
        <v>23073.600000000002</v>
      </c>
      <c r="K13" s="15">
        <f>+D13/$D$19</f>
        <v>0.22727272727272727</v>
      </c>
      <c r="L13" s="7">
        <f>+K13*$G$10/$J$13</f>
        <v>6.1869594373104873</v>
      </c>
    </row>
    <row r="14" spans="2:12" ht="19.5" customHeight="1" x14ac:dyDescent="0.25">
      <c r="B14" s="6">
        <v>1</v>
      </c>
      <c r="C14" s="6">
        <v>8</v>
      </c>
      <c r="D14" s="7">
        <v>3500000</v>
      </c>
      <c r="E14" s="9">
        <v>2</v>
      </c>
      <c r="F14" s="12">
        <v>8.8000000000000007</v>
      </c>
      <c r="G14" s="10">
        <v>5</v>
      </c>
      <c r="H14" s="11">
        <v>4.37</v>
      </c>
      <c r="I14" s="13">
        <f>+H14*G14*F14*E14</f>
        <v>384.56000000000006</v>
      </c>
      <c r="J14" s="14">
        <f>+I14*60</f>
        <v>23073.600000000002</v>
      </c>
      <c r="K14" s="15">
        <f>+D14/$D$19</f>
        <v>0.31818181818181818</v>
      </c>
      <c r="L14" s="7">
        <f>+K14*$G$10/$J$13</f>
        <v>8.6617432122346827</v>
      </c>
    </row>
    <row r="15" spans="2:12" ht="19.5" customHeight="1" x14ac:dyDescent="0.25">
      <c r="B15" s="6">
        <v>2</v>
      </c>
      <c r="C15" s="6">
        <v>9</v>
      </c>
      <c r="D15" s="7">
        <v>3500000</v>
      </c>
      <c r="E15" s="9">
        <v>2</v>
      </c>
      <c r="F15" s="12">
        <v>8.8000000000000007</v>
      </c>
      <c r="G15" s="10">
        <v>5</v>
      </c>
      <c r="H15" s="11">
        <v>4.37</v>
      </c>
      <c r="I15" s="13">
        <f>+H15*G15*F15*E15</f>
        <v>384.56000000000006</v>
      </c>
      <c r="J15" s="14">
        <f>+I15*60</f>
        <v>23073.600000000002</v>
      </c>
      <c r="K15" s="15">
        <f>+D15/$D$19</f>
        <v>0.31818181818181818</v>
      </c>
      <c r="L15" s="7">
        <f>+K15*$G$10/$J$13</f>
        <v>8.6617432122346827</v>
      </c>
    </row>
    <row r="16" spans="2:12" ht="19.5" customHeight="1" x14ac:dyDescent="0.25">
      <c r="B16" s="6">
        <v>3</v>
      </c>
      <c r="C16" s="6">
        <v>10</v>
      </c>
      <c r="D16" s="7">
        <v>1000000</v>
      </c>
      <c r="E16" s="9">
        <v>2</v>
      </c>
      <c r="F16" s="12">
        <v>8.8000000000000007</v>
      </c>
      <c r="G16" s="10">
        <v>5</v>
      </c>
      <c r="H16" s="11">
        <v>4.37</v>
      </c>
      <c r="I16" s="13">
        <f>+H16*G16*F16*E16</f>
        <v>384.56000000000006</v>
      </c>
      <c r="J16" s="14">
        <f>+I16*60</f>
        <v>23073.600000000002</v>
      </c>
      <c r="K16" s="15">
        <f>+D16/$D$19</f>
        <v>9.0909090909090912E-2</v>
      </c>
      <c r="L16" s="7">
        <f>+K16*$G$10/$J$13</f>
        <v>2.474783774924195</v>
      </c>
    </row>
    <row r="17" spans="2:12" ht="19.5" customHeight="1" x14ac:dyDescent="0.25">
      <c r="B17" s="6">
        <v>6</v>
      </c>
      <c r="C17" s="6">
        <v>11</v>
      </c>
      <c r="D17" s="7">
        <v>200000</v>
      </c>
      <c r="E17" s="9">
        <v>2</v>
      </c>
      <c r="F17" s="12">
        <v>8.8000000000000007</v>
      </c>
      <c r="G17" s="10">
        <v>5</v>
      </c>
      <c r="H17" s="11">
        <v>4.37</v>
      </c>
      <c r="I17" s="13">
        <f>+H17*G17*F17*E17</f>
        <v>384.56000000000006</v>
      </c>
      <c r="J17" s="14">
        <f>+I17*60</f>
        <v>23073.600000000002</v>
      </c>
      <c r="K17" s="15">
        <f>+D17/$D$19</f>
        <v>1.8181818181818181E-2</v>
      </c>
      <c r="L17" s="7">
        <f>+K17*$G$10/$J$13</f>
        <v>0.49495675498483899</v>
      </c>
    </row>
    <row r="18" spans="2:12" ht="19.5" customHeight="1" x14ac:dyDescent="0.25">
      <c r="B18" s="6">
        <v>5</v>
      </c>
      <c r="C18" s="6">
        <v>12</v>
      </c>
      <c r="D18" s="7">
        <v>300000</v>
      </c>
      <c r="E18" s="9">
        <v>2</v>
      </c>
      <c r="F18" s="12">
        <v>8.8000000000000007</v>
      </c>
      <c r="G18" s="10">
        <v>5</v>
      </c>
      <c r="H18" s="11">
        <v>4.37</v>
      </c>
      <c r="I18" s="13">
        <f>+H18*G18*F18*E18</f>
        <v>384.56000000000006</v>
      </c>
      <c r="J18" s="14">
        <f>+I18*60</f>
        <v>23073.600000000002</v>
      </c>
      <c r="K18" s="15">
        <f>+D18/$D$19</f>
        <v>2.7272727272727271E-2</v>
      </c>
      <c r="L18" s="7">
        <f>+K18*$G$10/$J$13</f>
        <v>0.74243513247725845</v>
      </c>
    </row>
    <row r="19" spans="2:12" x14ac:dyDescent="0.25">
      <c r="C19" t="s">
        <v>25</v>
      </c>
      <c r="D19" s="7">
        <f>SUM(D13:D18)</f>
        <v>11000000</v>
      </c>
    </row>
  </sheetData>
  <sortState xmlns:xlrd2="http://schemas.microsoft.com/office/spreadsheetml/2017/richdata2" ref="B13:L18">
    <sortCondition ref="C13:C1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Prado</dc:creator>
  <cp:lastModifiedBy>Antonio Prado</cp:lastModifiedBy>
  <dcterms:created xsi:type="dcterms:W3CDTF">2026-02-01T22:20:06Z</dcterms:created>
  <dcterms:modified xsi:type="dcterms:W3CDTF">2026-02-08T23:47:31Z</dcterms:modified>
</cp:coreProperties>
</file>