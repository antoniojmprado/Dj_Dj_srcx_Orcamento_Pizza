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Documents\GitHub\DJ_OEE\appOEE\arquivos\"/>
    </mc:Choice>
  </mc:AlternateContent>
  <xr:revisionPtr revIDLastSave="0" documentId="8_{B5A947EE-F564-4E4C-85D3-9D48F9C4D763}" xr6:coauthVersionLast="47" xr6:coauthVersionMax="47" xr10:uidLastSave="{00000000-0000-0000-0000-000000000000}"/>
  <bookViews>
    <workbookView xWindow="-120" yWindow="-120" windowWidth="29040" windowHeight="15840" xr2:uid="{EE65EE1C-D116-4FE5-9DD8-FC132CE8DBE5}"/>
  </bookViews>
  <sheets>
    <sheet name="Planilha1" sheetId="1" r:id="rId1"/>
    <sheet name="Planilha2" sheetId="4" r:id="rId2"/>
    <sheet name="Planilha3" sheetId="3" r:id="rId3"/>
  </sheets>
  <definedNames>
    <definedName name="_xlchart.v1.0" hidden="1">Planilha3!$D$4:$D$11</definedName>
    <definedName name="_xlchart.v1.1" hidden="1">Planilha3!$E$4:$E$11</definedName>
    <definedName name="solver_adj" localSheetId="0" hidden="1">Planilha1!$D$22,Planilha1!$D$27,Planilha1!$D$32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Planilha1!$P$23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" l="1"/>
  <c r="N54" i="1" s="1"/>
  <c r="N55" i="1" s="1"/>
  <c r="N40" i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38" i="1"/>
  <c r="N39" i="1" s="1"/>
  <c r="N37" i="1"/>
  <c r="H21" i="1"/>
  <c r="F44" i="1"/>
  <c r="F41" i="1"/>
  <c r="D2" i="1"/>
  <c r="F9" i="1"/>
  <c r="D52" i="1"/>
  <c r="D12" i="1"/>
  <c r="D6" i="1"/>
  <c r="H13" i="4"/>
  <c r="H14" i="4" s="1"/>
  <c r="H15" i="4" s="1"/>
  <c r="H16" i="4" s="1"/>
  <c r="D22" i="1"/>
  <c r="F15" i="1" s="1"/>
  <c r="D27" i="1"/>
  <c r="E8" i="3"/>
  <c r="E11" i="3" s="1"/>
  <c r="H32" i="1"/>
  <c r="H16" i="1"/>
  <c r="D40" i="1"/>
  <c r="D47" i="1"/>
  <c r="J26" i="1"/>
  <c r="H26" i="1"/>
  <c r="F64" i="1"/>
  <c r="F39" i="1"/>
  <c r="P36" i="1" l="1"/>
  <c r="P52" i="1"/>
  <c r="P44" i="1"/>
  <c r="P48" i="1"/>
  <c r="P40" i="1"/>
  <c r="P55" i="1"/>
  <c r="P51" i="1"/>
  <c r="P47" i="1"/>
  <c r="P43" i="1"/>
  <c r="P39" i="1"/>
  <c r="P54" i="1"/>
  <c r="P50" i="1"/>
  <c r="P46" i="1"/>
  <c r="P42" i="1"/>
  <c r="P38" i="1"/>
  <c r="P53" i="1"/>
  <c r="P49" i="1"/>
  <c r="P45" i="1"/>
  <c r="P41" i="1"/>
  <c r="P37" i="1"/>
  <c r="J21" i="1"/>
  <c r="L23" i="1" l="1"/>
  <c r="F48" i="1"/>
  <c r="F50" i="1" s="1"/>
  <c r="D54" i="1"/>
  <c r="D32" i="1" s="1"/>
  <c r="F52" i="1" l="1"/>
  <c r="J32" i="1" s="1"/>
  <c r="L32" i="1" s="1"/>
  <c r="N27" i="1" s="1"/>
  <c r="F2" i="1"/>
  <c r="H9" i="1"/>
  <c r="J12" i="1" s="1"/>
  <c r="L16" i="1" s="1"/>
  <c r="N19" i="1" l="1"/>
  <c r="P23" i="1" s="1"/>
  <c r="O35" i="1" s="1"/>
  <c r="F32" i="1"/>
  <c r="F30" i="1" l="1"/>
</calcChain>
</file>

<file path=xl/sharedStrings.xml><?xml version="1.0" encoding="utf-8"?>
<sst xmlns="http://schemas.openxmlformats.org/spreadsheetml/2006/main" count="154" uniqueCount="126">
  <si>
    <t>Max. Prod/h</t>
  </si>
  <si>
    <t>Disponibilidade</t>
  </si>
  <si>
    <t>Performance</t>
  </si>
  <si>
    <t>Qualidade</t>
  </si>
  <si>
    <t>Prod_Teórica/ano</t>
  </si>
  <si>
    <t>OEE</t>
  </si>
  <si>
    <t>Prod_Real/ano</t>
  </si>
  <si>
    <t>Preço Unit. R$/un.</t>
  </si>
  <si>
    <t>Custo Var. R$/un.</t>
  </si>
  <si>
    <t>Contrib/un. R$/un.</t>
  </si>
  <si>
    <t>Contr.Margem/ano</t>
  </si>
  <si>
    <t>Custos Fixos/ano</t>
  </si>
  <si>
    <t>Manut. R$/ano</t>
  </si>
  <si>
    <t>Depreciação/ano</t>
  </si>
  <si>
    <t>Outros fixos R$/ano</t>
  </si>
  <si>
    <t>Ativos Fixos</t>
  </si>
  <si>
    <t>Capital de Giro</t>
  </si>
  <si>
    <t>Vendas</t>
  </si>
  <si>
    <t>Lucro/Vendas</t>
  </si>
  <si>
    <t>Lucro/Ativos</t>
  </si>
  <si>
    <t>Capital Empregado</t>
  </si>
  <si>
    <t>ROCE</t>
  </si>
  <si>
    <t>Planejado (h/ano)</t>
  </si>
  <si>
    <t>Outros Fixos</t>
  </si>
  <si>
    <t>Flexo Xitian</t>
  </si>
  <si>
    <t>Descrição</t>
  </si>
  <si>
    <t>Valor</t>
  </si>
  <si>
    <t>Prod. Teórica (Potencial)</t>
  </si>
  <si>
    <t>Perda de Disponibilidade</t>
  </si>
  <si>
    <t>Perda de Performance</t>
  </si>
  <si>
    <t>Perda de Qualidade</t>
  </si>
  <si>
    <t>Prod. Real (Vendas)</t>
  </si>
  <si>
    <t>Custos Variáveis</t>
  </si>
  <si>
    <t>Custos Fixos</t>
  </si>
  <si>
    <t>Lucro Final (Prejuízo)</t>
  </si>
  <si>
    <t>dado</t>
  </si>
  <si>
    <t>calculado</t>
  </si>
  <si>
    <t>dado BD</t>
  </si>
  <si>
    <t>hora_turno</t>
  </si>
  <si>
    <t>dia_mes</t>
  </si>
  <si>
    <t>producao_mes</t>
  </si>
  <si>
    <t>mes_ano</t>
  </si>
  <si>
    <t>valor_ativo</t>
  </si>
  <si>
    <t>deprec</t>
  </si>
  <si>
    <t>manut</t>
  </si>
  <si>
    <t>pessoas</t>
  </si>
  <si>
    <t>encargos</t>
  </si>
  <si>
    <t>outros</t>
  </si>
  <si>
    <t>salario_mensal</t>
  </si>
  <si>
    <t>beneficios</t>
  </si>
  <si>
    <t>preco_unit</t>
  </si>
  <si>
    <t>turno_dia</t>
  </si>
  <si>
    <t>custo_unit_var</t>
  </si>
  <si>
    <t>Célula</t>
  </si>
  <si>
    <t>Descrição do Item</t>
  </si>
  <si>
    <t>Valor / Fórmula</t>
  </si>
  <si>
    <t>Observação</t>
  </si>
  <si>
    <t>B1</t>
  </si>
  <si>
    <t>OEE (Variável de Entrada)</t>
  </si>
  <si>
    <t>Mude este valor para testar</t>
  </si>
  <si>
    <t>B2</t>
  </si>
  <si>
    <t>Produção Teórica (un/ano)</t>
  </si>
  <si>
    <t>(6.505h * 4.870un)</t>
  </si>
  <si>
    <t>B3</t>
  </si>
  <si>
    <t>Margem Unitária (R$)</t>
  </si>
  <si>
    <t>(2,75 - 2,50)</t>
  </si>
  <si>
    <t>B4</t>
  </si>
  <si>
    <t>Capital Empregado (R$)</t>
  </si>
  <si>
    <t>(Ativos + Giro)</t>
  </si>
  <si>
    <t>B5</t>
  </si>
  <si>
    <t>Custos Fixos Totais (R$)</t>
  </si>
  <si>
    <t>(Manut + Depr + Fixos)</t>
  </si>
  <si>
    <t>B7</t>
  </si>
  <si>
    <t>Produção Real (un)</t>
  </si>
  <si>
    <t>OEE impacta o volume</t>
  </si>
  <si>
    <t>B8</t>
  </si>
  <si>
    <t>Margem Total (R$)</t>
  </si>
  <si>
    <t>OEE impacta a margem</t>
  </si>
  <si>
    <t>B9</t>
  </si>
  <si>
    <t>Lucro Operacional (R$)</t>
  </si>
  <si>
    <t>Resultado final</t>
  </si>
  <si>
    <t>B10</t>
  </si>
  <si>
    <t>ROCE (%)</t>
  </si>
  <si>
    <t>Resultado da Pirâmide</t>
  </si>
  <si>
    <t>2. Como as peças se encaixam (A Lógica DuPont)</t>
  </si>
  <si>
    <t>Note que nesta tabela:</t>
  </si>
  <si>
    <r>
      <t xml:space="preserve">1. O </t>
    </r>
    <r>
      <rPr>
        <b/>
        <sz val="11"/>
        <color theme="1"/>
        <rFont val="Aptos Narrow"/>
        <family val="2"/>
        <scheme val="minor"/>
      </rPr>
      <t>OEE (B1)</t>
    </r>
    <r>
      <rPr>
        <sz val="11"/>
        <color theme="1"/>
        <rFont val="Aptos Narrow"/>
        <family val="2"/>
        <scheme val="minor"/>
      </rPr>
      <t xml:space="preserve"> é o seu único "pedal de acelerador".</t>
    </r>
  </si>
  <si>
    <r>
      <t xml:space="preserve">2. Quando você aumenta o OEE, a </t>
    </r>
    <r>
      <rPr>
        <b/>
        <sz val="11"/>
        <color theme="1"/>
        <rFont val="Aptos Narrow"/>
        <family val="2"/>
        <scheme val="minor"/>
      </rPr>
      <t>Produção Real (B7)</t>
    </r>
    <r>
      <rPr>
        <sz val="11"/>
        <color theme="1"/>
        <rFont val="Aptos Narrow"/>
        <family val="2"/>
        <scheme val="minor"/>
      </rPr>
      <t xml:space="preserve"> sobe instantaneamente.</t>
    </r>
  </si>
  <si>
    <r>
      <t xml:space="preserve">3. Como a Margem Unitária é fixa (R$ 0,25), a sua </t>
    </r>
    <r>
      <rPr>
        <b/>
        <sz val="11"/>
        <color theme="1"/>
        <rFont val="Aptos Narrow"/>
        <family val="2"/>
        <scheme val="minor"/>
      </rPr>
      <t>Margem Total (B8)</t>
    </r>
    <r>
      <rPr>
        <sz val="11"/>
        <color theme="1"/>
        <rFont val="Aptos Narrow"/>
        <family val="2"/>
        <scheme val="minor"/>
      </rPr>
      <t xml:space="preserve"> cresce.</t>
    </r>
  </si>
  <si>
    <r>
      <t xml:space="preserve">4. O </t>
    </r>
    <r>
      <rPr>
        <b/>
        <sz val="11"/>
        <color theme="1"/>
        <rFont val="Aptos Narrow"/>
        <family val="2"/>
        <scheme val="minor"/>
      </rPr>
      <t>Custo Fixo (B5)</t>
    </r>
    <r>
      <rPr>
        <sz val="11"/>
        <color theme="1"/>
        <rFont val="Aptos Narrow"/>
        <family val="2"/>
        <scheme val="minor"/>
      </rPr>
      <t xml:space="preserve"> é o "peso" que você precisa carregar. Ele não muda se o OEE sobe ou desce.</t>
    </r>
  </si>
  <si>
    <r>
      <t xml:space="preserve">5. O </t>
    </r>
    <r>
      <rPr>
        <b/>
        <sz val="11"/>
        <color theme="1"/>
        <rFont val="Aptos Narrow"/>
        <family val="2"/>
        <scheme val="minor"/>
      </rPr>
      <t>ROCE (B10)</t>
    </r>
    <r>
      <rPr>
        <sz val="11"/>
        <color theme="1"/>
        <rFont val="Aptos Narrow"/>
        <family val="2"/>
        <scheme val="minor"/>
      </rPr>
      <t xml:space="preserve"> só fica positivo quando a Margem Total (B8) consegue ser maior que o Custo Fixo (B5).</t>
    </r>
  </si>
  <si>
    <t>import pandas as pd</t>
  </si>
  <si>
    <t>def calcular_desempenho_fabril(oee_alvo):</t>
  </si>
  <si>
    <t xml:space="preserve">    # --- DADOS DE ENTRADA (Baseados na sua imagem) ---</t>
  </si>
  <si>
    <t xml:space="preserve">    horas_planejadas = 6505</t>
  </si>
  <si>
    <t xml:space="preserve">    capacidade_max_h = 4870</t>
  </si>
  <si>
    <t xml:space="preserve">    preco_unitario = 2.75</t>
  </si>
  <si>
    <t xml:space="preserve">    custo_var_unitario = 2.50</t>
  </si>
  <si>
    <t xml:space="preserve">    custos_fixos_totais = 3565578</t>
  </si>
  <si>
    <t xml:space="preserve">    capital_empregado = 14950000</t>
  </si>
  <si>
    <t xml:space="preserve">    </t>
  </si>
  <si>
    <t xml:space="preserve">    # --- LÓGICA DA PIRÂMIDE ---</t>
  </si>
  <si>
    <t xml:space="preserve">    prod_teorica = horas_planejadas * capacidade_max_h</t>
  </si>
  <si>
    <t xml:space="preserve">    margem_unitária = preco_unitario - custo_var_unitario</t>
  </si>
  <si>
    <t xml:space="preserve">    # Impacto do OEE</t>
  </si>
  <si>
    <t xml:space="preserve">    prod_real = prod_teorica * (oee_alvo / 100)</t>
  </si>
  <si>
    <t xml:space="preserve">    margem_contribuicao_total = prod_real * margem_unitária</t>
  </si>
  <si>
    <t xml:space="preserve">    # Resultado Financeiro</t>
  </si>
  <si>
    <t xml:space="preserve">    lucro_operacional = margem_contribuicao_total - custos_fixos_totais</t>
  </si>
  <si>
    <t xml:space="preserve">    roce = (lucro_operacional / capital_empregado) * 100</t>
  </si>
  <si>
    <t xml:space="preserve">    return {</t>
  </si>
  <si>
    <t xml:space="preserve">        "OEE (%)": oee_alvo,</t>
  </si>
  <si>
    <t xml:space="preserve">        "Produção Real (un)": round(prod_real, 0),</t>
  </si>
  <si>
    <t xml:space="preserve">        "Margem Real (R$)": round(margem_contribuicao_total, 2),</t>
  </si>
  <si>
    <t xml:space="preserve">        "Lucro/Prejuízo (R$)": round(lucro_operacional, 2),</t>
  </si>
  <si>
    <t xml:space="preserve">        "ROCE (%)": round(roce, 2)</t>
  </si>
  <si>
    <t xml:space="preserve">    }</t>
  </si>
  <si>
    <t># --- TESTANDO DIFERENTES CENÁRIOS ---</t>
  </si>
  <si>
    <t>cenarios = [43.8, 45.0, 50.0, 55.0] # Seu atual + metas</t>
  </si>
  <si>
    <t>resultados = [calcular_desempenho_fabril(c) for c in cenarios]</t>
  </si>
  <si>
    <t># Transformando em DataFrame para visualização limpa</t>
  </si>
  <si>
    <t>df_analise = pd.DataFrame(resultados)</t>
  </si>
  <si>
    <t>print("Análise de Sensibilidade: OEE vs ROCE")</t>
  </si>
  <si>
    <t>print(df_analise.to_string(index=False))</t>
  </si>
  <si>
    <t>https://gemini.google.com/app/3a62087bf48d3a1c</t>
  </si>
  <si>
    <t>Lucro (ebit)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</si>
</sst>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6" formatCode="&quot;R$&quot;\ #,##0;[Red]\-&quot;R$&quot;\ #,##0"/>
    <numFmt numFmtId="164" formatCode="0.0%"/>
    <numFmt numFmtId="165" formatCode="&quot;R$ &quot;0.00&quot; /un&quot;"/>
    <numFmt numFmtId="166" formatCode="&quot;R$&quot;\ #,##0"/>
    <numFmt numFmtId="167" formatCode="#,##0\ &quot;un/mes&quot;"/>
    <numFmt numFmtId="168" formatCode="0.0\ &quot;mes/ano&quot;"/>
    <numFmt numFmtId="169" formatCode="#,##0\ &quot;un/ano&quot;"/>
    <numFmt numFmtId="170" formatCode="&quot;R$&quot;\ #,##0\ &quot;/ano&quot;"/>
    <numFmt numFmtId="171" formatCode="&quot;NCG R$ &quot;\ #,##0\ &quot;/mes&quot;"/>
    <numFmt numFmtId="172" formatCode="0.0\ &quot;h/turno&quot;"/>
    <numFmt numFmtId="173" formatCode="0.0\ &quot;h/dia&quot;"/>
    <numFmt numFmtId="174" formatCode="#,##0\ &quot;dia/mes&quot;"/>
    <numFmt numFmtId="175" formatCode="#,##0\ &quot;h/mes&quot;"/>
    <numFmt numFmtId="176" formatCode="&quot;Max_prod &quot;\ #,##0\ &quot;/h&quot;"/>
    <numFmt numFmtId="177" formatCode="&quot;R$&quot;\ #,##0\ &quot;/tot_ativos&quot;"/>
    <numFmt numFmtId="178" formatCode="0.00\ &quot;% deprec/ano&quot;"/>
    <numFmt numFmtId="179" formatCode="&quot;Manut. R$ &quot;\ #,##0\ &quot;/mes&quot;"/>
    <numFmt numFmtId="180" formatCode="0\ &quot;pessoas&quot;"/>
    <numFmt numFmtId="181" formatCode="&quot;R$&quot;\ #,##0\ &quot;/mes&quot;"/>
    <numFmt numFmtId="182" formatCode="0.00\ &quot;encargos&quot;"/>
    <numFmt numFmtId="183" formatCode="0.0\ &quot;% benefícios&quot;"/>
    <numFmt numFmtId="184" formatCode="0.0\ &quot;% outros&quot;"/>
    <numFmt numFmtId="185" formatCode="&quot;Outros Fix R$ &quot;\ #,##0.00\ &quot;/ano&quot;"/>
    <numFmt numFmtId="186" formatCode="&quot;Real_prod &quot;\ #,##0\ &quot;/h&quot;"/>
    <numFmt numFmtId="187" formatCode="0%\ &quot;perform.&quot;"/>
    <numFmt numFmtId="188" formatCode="&quot;Max_hora &quot;\ 0.0\ &quot;/dia&quot;"/>
    <numFmt numFmtId="189" formatCode="&quot;real_hora &quot;\ 0.0\ &quot;/dia&quot;"/>
    <numFmt numFmtId="190" formatCode="0.00\ &quot;kg/ch 90x45&quot;"/>
    <numFmt numFmtId="191" formatCode="&quot;kg_total&quot;\ #,000\ &quot;ch/mes&quot;"/>
    <numFmt numFmtId="192" formatCode="&quot;kg_total&quot;\ #,000\ &quot;aparas/mes&quot;"/>
    <numFmt numFmtId="193" formatCode="0%\ &quot;aparas&quot;"/>
    <numFmt numFmtId="194" formatCode="0.000"/>
    <numFmt numFmtId="195" formatCode="#,##0.00\ &quot;un/mes&quot;"/>
    <numFmt numFmtId="196" formatCode="0.0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0"/>
      <color rgb="FF444746"/>
      <name val="Google Sans Text"/>
      <family val="2"/>
    </font>
    <font>
      <b/>
      <sz val="13.5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Border="1" applyAlignment="1">
      <alignment horizontal="center" vertical="center"/>
    </xf>
    <xf numFmtId="0" fontId="0" fillId="0" borderId="0" xfId="0" applyBorder="1"/>
    <xf numFmtId="164" fontId="0" fillId="0" borderId="0" xfId="0" applyNumberFormat="1"/>
    <xf numFmtId="10" fontId="0" fillId="0" borderId="0" xfId="0" applyNumberFormat="1"/>
    <xf numFmtId="167" fontId="6" fillId="0" borderId="0" xfId="0" applyNumberFormat="1" applyFont="1"/>
    <xf numFmtId="167" fontId="7" fillId="0" borderId="0" xfId="0" applyNumberFormat="1" applyFont="1"/>
    <xf numFmtId="168" fontId="6" fillId="0" borderId="0" xfId="0" applyNumberFormat="1" applyFont="1"/>
    <xf numFmtId="169" fontId="6" fillId="0" borderId="0" xfId="0" applyNumberFormat="1" applyFont="1"/>
    <xf numFmtId="165" fontId="2" fillId="4" borderId="0" xfId="1" applyNumberFormat="1" applyFont="1" applyFill="1" applyBorder="1" applyAlignment="1">
      <alignment horizontal="center" vertical="center"/>
    </xf>
    <xf numFmtId="170" fontId="6" fillId="0" borderId="0" xfId="0" applyNumberFormat="1" applyFont="1"/>
    <xf numFmtId="171" fontId="5" fillId="0" borderId="0" xfId="0" applyNumberFormat="1" applyFont="1"/>
    <xf numFmtId="176" fontId="6" fillId="0" borderId="0" xfId="0" applyNumberFormat="1" applyFont="1"/>
    <xf numFmtId="177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177" fontId="5" fillId="0" borderId="0" xfId="0" applyNumberFormat="1" applyFont="1" applyAlignment="1">
      <alignment horizontal="right"/>
    </xf>
    <xf numFmtId="180" fontId="5" fillId="0" borderId="0" xfId="0" applyNumberFormat="1" applyFont="1"/>
    <xf numFmtId="181" fontId="5" fillId="0" borderId="0" xfId="0" applyNumberFormat="1" applyFont="1"/>
    <xf numFmtId="182" fontId="5" fillId="0" borderId="0" xfId="0" applyNumberFormat="1" applyFont="1"/>
    <xf numFmtId="168" fontId="5" fillId="0" borderId="0" xfId="0" applyNumberFormat="1" applyFont="1"/>
    <xf numFmtId="183" fontId="5" fillId="0" borderId="0" xfId="0" applyNumberFormat="1" applyFont="1"/>
    <xf numFmtId="184" fontId="5" fillId="0" borderId="0" xfId="0" applyNumberFormat="1" applyFont="1"/>
    <xf numFmtId="185" fontId="4" fillId="0" borderId="0" xfId="0" applyNumberFormat="1" applyFont="1"/>
    <xf numFmtId="176" fontId="4" fillId="0" borderId="4" xfId="0" applyNumberFormat="1" applyFont="1" applyBorder="1" applyAlignment="1">
      <alignment horizontal="center"/>
    </xf>
    <xf numFmtId="186" fontId="4" fillId="0" borderId="4" xfId="0" applyNumberFormat="1" applyFont="1" applyBorder="1" applyAlignment="1">
      <alignment horizontal="center"/>
    </xf>
    <xf numFmtId="188" fontId="4" fillId="0" borderId="4" xfId="0" applyNumberFormat="1" applyFont="1" applyBorder="1" applyAlignment="1">
      <alignment horizontal="center"/>
    </xf>
    <xf numFmtId="189" fontId="4" fillId="0" borderId="4" xfId="0" applyNumberFormat="1" applyFont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191" fontId="4" fillId="0" borderId="4" xfId="0" applyNumberFormat="1" applyFont="1" applyBorder="1" applyAlignment="1">
      <alignment horizontal="center"/>
    </xf>
    <xf numFmtId="192" fontId="4" fillId="0" borderId="4" xfId="0" applyNumberFormat="1" applyFont="1" applyBorder="1" applyAlignment="1">
      <alignment horizontal="center"/>
    </xf>
    <xf numFmtId="187" fontId="5" fillId="6" borderId="5" xfId="1" applyNumberFormat="1" applyFont="1" applyFill="1" applyBorder="1" applyAlignment="1">
      <alignment horizontal="center"/>
    </xf>
    <xf numFmtId="193" fontId="5" fillId="6" borderId="5" xfId="1" applyNumberFormat="1" applyFont="1" applyFill="1" applyBorder="1" applyAlignment="1">
      <alignment horizontal="center"/>
    </xf>
    <xf numFmtId="190" fontId="4" fillId="0" borderId="4" xfId="0" applyNumberFormat="1" applyFont="1" applyBorder="1" applyAlignment="1">
      <alignment horizontal="center"/>
    </xf>
    <xf numFmtId="172" fontId="8" fillId="7" borderId="3" xfId="0" applyNumberFormat="1" applyFont="1" applyFill="1" applyBorder="1" applyAlignment="1">
      <alignment horizontal="center"/>
    </xf>
    <xf numFmtId="164" fontId="0" fillId="6" borderId="0" xfId="0" applyNumberFormat="1" applyFill="1"/>
    <xf numFmtId="164" fontId="0" fillId="0" borderId="0" xfId="1" applyNumberFormat="1" applyFont="1"/>
    <xf numFmtId="194" fontId="0" fillId="0" borderId="0" xfId="1" applyNumberFormat="1" applyFont="1"/>
    <xf numFmtId="0" fontId="9" fillId="8" borderId="0" xfId="0" applyFont="1" applyFill="1" applyAlignment="1">
      <alignment horizontal="center"/>
    </xf>
    <xf numFmtId="0" fontId="11" fillId="0" borderId="6" xfId="0" applyFont="1" applyBorder="1" applyAlignment="1">
      <alignment horizontal="left" vertical="center" wrapText="1" indent="1" readingOrder="1"/>
    </xf>
    <xf numFmtId="0" fontId="10" fillId="0" borderId="6" xfId="0" applyFont="1" applyBorder="1" applyAlignment="1">
      <alignment horizontal="left" vertical="center" wrapText="1" indent="1" readingOrder="1"/>
    </xf>
    <xf numFmtId="6" fontId="10" fillId="0" borderId="6" xfId="0" applyNumberFormat="1" applyFont="1" applyBorder="1" applyAlignment="1">
      <alignment horizontal="left" vertical="center" wrapText="1" indent="1" readingOrder="1"/>
    </xf>
    <xf numFmtId="6" fontId="11" fillId="0" borderId="6" xfId="0" applyNumberFormat="1" applyFont="1" applyBorder="1" applyAlignment="1">
      <alignment horizontal="left" vertical="center" wrapText="1" indent="1" readingOrder="1"/>
    </xf>
    <xf numFmtId="167" fontId="6" fillId="6" borderId="7" xfId="0" applyNumberFormat="1" applyFont="1" applyFill="1" applyBorder="1"/>
    <xf numFmtId="172" fontId="6" fillId="6" borderId="7" xfId="0" applyNumberFormat="1" applyFont="1" applyFill="1" applyBorder="1"/>
    <xf numFmtId="173" fontId="6" fillId="6" borderId="7" xfId="0" applyNumberFormat="1" applyFont="1" applyFill="1" applyBorder="1"/>
    <xf numFmtId="174" fontId="6" fillId="6" borderId="7" xfId="0" applyNumberFormat="1" applyFont="1" applyFill="1" applyBorder="1"/>
    <xf numFmtId="175" fontId="6" fillId="6" borderId="7" xfId="0" applyNumberFormat="1" applyFont="1" applyFill="1" applyBorder="1"/>
    <xf numFmtId="0" fontId="13" fillId="0" borderId="0" xfId="0" applyFont="1"/>
    <xf numFmtId="167" fontId="13" fillId="0" borderId="0" xfId="0" applyNumberFormat="1" applyFont="1"/>
    <xf numFmtId="168" fontId="13" fillId="0" borderId="0" xfId="0" applyNumberFormat="1" applyFont="1"/>
    <xf numFmtId="169" fontId="13" fillId="0" borderId="0" xfId="0" applyNumberFormat="1" applyFont="1"/>
    <xf numFmtId="0" fontId="13" fillId="6" borderId="0" xfId="0" applyFont="1" applyFill="1"/>
    <xf numFmtId="9" fontId="0" fillId="0" borderId="0" xfId="1" applyFont="1"/>
    <xf numFmtId="195" fontId="6" fillId="6" borderId="7" xfId="0" applyNumberFormat="1" applyFont="1" applyFill="1" applyBorder="1"/>
    <xf numFmtId="10" fontId="11" fillId="0" borderId="6" xfId="0" applyNumberFormat="1" applyFont="1" applyBorder="1" applyAlignment="1">
      <alignment horizontal="left" vertical="center" wrapText="1" indent="1" readingOrder="1"/>
    </xf>
    <xf numFmtId="3" fontId="10" fillId="0" borderId="6" xfId="0" applyNumberFormat="1" applyFont="1" applyBorder="1" applyAlignment="1">
      <alignment horizontal="left" vertical="center" wrapText="1" indent="1" readingOrder="1"/>
    </xf>
    <xf numFmtId="0" fontId="14" fillId="0" borderId="6" xfId="0" applyFont="1" applyBorder="1" applyAlignment="1">
      <alignment horizontal="left" vertical="center" wrapText="1" indent="1" readingOrder="1"/>
    </xf>
    <xf numFmtId="0" fontId="1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6" borderId="0" xfId="0" applyFill="1"/>
    <xf numFmtId="0" fontId="9" fillId="6" borderId="0" xfId="0" applyFont="1" applyFill="1"/>
    <xf numFmtId="196" fontId="0" fillId="8" borderId="0" xfId="1" applyNumberFormat="1" applyFont="1" applyFill="1"/>
    <xf numFmtId="164" fontId="9" fillId="9" borderId="0" xfId="0" applyNumberFormat="1" applyFont="1" applyFill="1"/>
    <xf numFmtId="165" fontId="2" fillId="4" borderId="1" xfId="1" applyNumberFormat="1" applyFont="1" applyFill="1" applyBorder="1" applyAlignment="1">
      <alignment horizontal="center" vertical="center"/>
    </xf>
    <xf numFmtId="165" fontId="2" fillId="4" borderId="2" xfId="1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64" fontId="2" fillId="2" borderId="2" xfId="1" applyNumberFormat="1" applyFont="1" applyFill="1" applyBorder="1" applyAlignment="1">
      <alignment horizontal="center" vertical="center"/>
    </xf>
    <xf numFmtId="166" fontId="2" fillId="4" borderId="1" xfId="1" applyNumberFormat="1" applyFont="1" applyFill="1" applyBorder="1" applyAlignment="1">
      <alignment horizontal="center" vertical="center"/>
    </xf>
    <xf numFmtId="166" fontId="2" fillId="4" borderId="2" xfId="1" applyNumberFormat="1" applyFont="1" applyFill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/>
    </xf>
    <xf numFmtId="164" fontId="2" fillId="5" borderId="2" xfId="1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/>
    </xf>
    <xf numFmtId="164" fontId="2" fillId="4" borderId="2" xfId="1" applyNumberFormat="1" applyFont="1" applyFill="1" applyBorder="1" applyAlignment="1">
      <alignment horizontal="center" vertical="center"/>
    </xf>
    <xf numFmtId="2" fontId="2" fillId="4" borderId="1" xfId="1" applyNumberFormat="1" applyFont="1" applyFill="1" applyBorder="1" applyAlignment="1">
      <alignment horizontal="center" vertical="center"/>
    </xf>
    <xf numFmtId="2" fontId="2" fillId="4" borderId="2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4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1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/>
    <cx:plotArea>
      <cx:plotAreaRegion>
        <cx:series layoutId="waterfall" uniqueId="{E98ECDB6-C729-410B-9E31-9958551C9F37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4"/>
              <cx:idx val="7"/>
            </cx:subtotals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  <cx:legend pos="t" align="ctr" overlay="0"/>
  </cx:chart>
  <cx:printSettings>
    <cx:headerFooter alignWithMargins="1" differentOddEven="0" differentFirst="0"/>
    <cx:pageMargins l="0.511811024" r="0.511811024" t="0.78740157499999996" b="0.78740157499999996" header="0.31496062000000002" footer="0.31496062000000002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55791</xdr:colOff>
      <xdr:row>34</xdr:row>
      <xdr:rowOff>168729</xdr:rowOff>
    </xdr:from>
    <xdr:to>
      <xdr:col>11</xdr:col>
      <xdr:colOff>299357</xdr:colOff>
      <xdr:row>37</xdr:row>
      <xdr:rowOff>217714</xdr:rowOff>
    </xdr:to>
    <xdr:sp macro="" textlink="">
      <xdr:nvSpPr>
        <xdr:cNvPr id="3" name="Texto Explicativo: Linha 2">
          <a:extLst>
            <a:ext uri="{FF2B5EF4-FFF2-40B4-BE49-F238E27FC236}">
              <a16:creationId xmlns:a16="http://schemas.microsoft.com/office/drawing/2014/main" id="{6CEE5F92-0F10-1513-1E06-2CC5BF77E073}"/>
            </a:ext>
          </a:extLst>
        </xdr:cNvPr>
        <xdr:cNvSpPr/>
      </xdr:nvSpPr>
      <xdr:spPr>
        <a:xfrm>
          <a:off x="13975898" y="8142515"/>
          <a:ext cx="1372959" cy="987878"/>
        </a:xfrm>
        <a:prstGeom prst="borderCallout1">
          <a:avLst>
            <a:gd name="adj1" fmla="val 3071"/>
            <a:gd name="adj2" fmla="val 401"/>
            <a:gd name="adj3" fmla="val -38791"/>
            <a:gd name="adj4" fmla="val -9567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kern="1200"/>
            <a:t>Contas</a:t>
          </a:r>
          <a:r>
            <a:rPr lang="pt-BR" sz="1100" kern="1200" baseline="0"/>
            <a:t> a receber</a:t>
          </a:r>
        </a:p>
        <a:p>
          <a:pPr algn="l"/>
          <a:r>
            <a:rPr lang="pt-BR" sz="1100" kern="1200" baseline="0"/>
            <a:t>Estoques</a:t>
          </a:r>
        </a:p>
        <a:p>
          <a:pPr algn="l"/>
          <a:r>
            <a:rPr lang="pt-BR" sz="1100" kern="1200" baseline="0"/>
            <a:t>Caixa</a:t>
          </a:r>
          <a:endParaRPr lang="pt-BR" sz="1100" kern="1200"/>
        </a:p>
      </xdr:txBody>
    </xdr:sp>
    <xdr:clientData/>
  </xdr:twoCellAnchor>
  <xdr:twoCellAnchor>
    <xdr:from>
      <xdr:col>6</xdr:col>
      <xdr:colOff>13607</xdr:colOff>
      <xdr:row>15</xdr:row>
      <xdr:rowOff>217681</xdr:rowOff>
    </xdr:from>
    <xdr:to>
      <xdr:col>7</xdr:col>
      <xdr:colOff>7236</xdr:colOff>
      <xdr:row>27</xdr:row>
      <xdr:rowOff>14654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89F51E2F-9659-7AF4-DCAE-D93F26B6D349}"/>
            </a:ext>
          </a:extLst>
        </xdr:cNvPr>
        <xdr:cNvGrpSpPr/>
      </xdr:nvGrpSpPr>
      <xdr:grpSpPr>
        <a:xfrm>
          <a:off x="7431901" y="3590652"/>
          <a:ext cx="2246011" cy="2744120"/>
          <a:chOff x="1066159" y="1848751"/>
          <a:chExt cx="873562" cy="2682442"/>
        </a:xfrm>
      </xdr:grpSpPr>
      <xdr:cxnSp macro="">
        <xdr:nvCxnSpPr>
          <xdr:cNvPr id="10" name="Conector de Seta Reta 9">
            <a:extLst>
              <a:ext uri="{FF2B5EF4-FFF2-40B4-BE49-F238E27FC236}">
                <a16:creationId xmlns:a16="http://schemas.microsoft.com/office/drawing/2014/main" id="{32A1FA3E-24EB-2EB5-EC3A-D9EA2FEB2D96}"/>
              </a:ext>
            </a:extLst>
          </xdr:cNvPr>
          <xdr:cNvCxnSpPr/>
        </xdr:nvCxnSpPr>
        <xdr:spPr>
          <a:xfrm>
            <a:off x="1066159" y="3288949"/>
            <a:ext cx="391886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Conector reto 11">
            <a:extLst>
              <a:ext uri="{FF2B5EF4-FFF2-40B4-BE49-F238E27FC236}">
                <a16:creationId xmlns:a16="http://schemas.microsoft.com/office/drawing/2014/main" id="{72C676C6-8DA5-0E94-2F8E-18BFEA3367F0}"/>
              </a:ext>
            </a:extLst>
          </xdr:cNvPr>
          <xdr:cNvCxnSpPr/>
        </xdr:nvCxnSpPr>
        <xdr:spPr>
          <a:xfrm>
            <a:off x="1423147" y="1860176"/>
            <a:ext cx="8425" cy="2671017"/>
          </a:xfrm>
          <a:prstGeom prst="line">
            <a:avLst/>
          </a:prstGeom>
          <a:ln w="349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Conector de Seta Reta 38">
            <a:extLst>
              <a:ext uri="{FF2B5EF4-FFF2-40B4-BE49-F238E27FC236}">
                <a16:creationId xmlns:a16="http://schemas.microsoft.com/office/drawing/2014/main" id="{69708A9F-3AC6-9B81-8F2B-60663B71DB3D}"/>
              </a:ext>
            </a:extLst>
          </xdr:cNvPr>
          <xdr:cNvCxnSpPr/>
        </xdr:nvCxnSpPr>
        <xdr:spPr>
          <a:xfrm>
            <a:off x="1071602" y="4524873"/>
            <a:ext cx="391886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Conector de Seta Reta 41">
            <a:extLst>
              <a:ext uri="{FF2B5EF4-FFF2-40B4-BE49-F238E27FC236}">
                <a16:creationId xmlns:a16="http://schemas.microsoft.com/office/drawing/2014/main" id="{D1F25A3F-1CB3-6E04-D42C-B2D834EF0B8A}"/>
              </a:ext>
            </a:extLst>
          </xdr:cNvPr>
          <xdr:cNvCxnSpPr/>
        </xdr:nvCxnSpPr>
        <xdr:spPr>
          <a:xfrm>
            <a:off x="1412592" y="1848751"/>
            <a:ext cx="527129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11527</xdr:colOff>
      <xdr:row>5</xdr:row>
      <xdr:rowOff>231960</xdr:rowOff>
    </xdr:from>
    <xdr:to>
      <xdr:col>5</xdr:col>
      <xdr:colOff>7283</xdr:colOff>
      <xdr:row>11</xdr:row>
      <xdr:rowOff>172009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173A7227-17FF-AC51-7B48-CB804DFBAB5F}"/>
            </a:ext>
          </a:extLst>
        </xdr:cNvPr>
        <xdr:cNvGrpSpPr/>
      </xdr:nvGrpSpPr>
      <xdr:grpSpPr>
        <a:xfrm>
          <a:off x="3922380" y="1408578"/>
          <a:ext cx="858609" cy="1295960"/>
          <a:chOff x="12841784" y="981073"/>
          <a:chExt cx="848524" cy="1243594"/>
        </a:xfrm>
      </xdr:grpSpPr>
      <xdr:cxnSp macro="">
        <xdr:nvCxnSpPr>
          <xdr:cNvPr id="5" name="Conector de Seta Reta 4">
            <a:extLst>
              <a:ext uri="{FF2B5EF4-FFF2-40B4-BE49-F238E27FC236}">
                <a16:creationId xmlns:a16="http://schemas.microsoft.com/office/drawing/2014/main" id="{EA04ECB8-5D7B-2747-D246-B8B4091AF304}"/>
              </a:ext>
            </a:extLst>
          </xdr:cNvPr>
          <xdr:cNvCxnSpPr/>
        </xdr:nvCxnSpPr>
        <xdr:spPr>
          <a:xfrm flipV="1">
            <a:off x="12841784" y="2210028"/>
            <a:ext cx="328862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Conector reto 6">
            <a:extLst>
              <a:ext uri="{FF2B5EF4-FFF2-40B4-BE49-F238E27FC236}">
                <a16:creationId xmlns:a16="http://schemas.microsoft.com/office/drawing/2014/main" id="{06E98BAE-E5EC-1DED-339A-5BCA75D18ED7}"/>
              </a:ext>
            </a:extLst>
          </xdr:cNvPr>
          <xdr:cNvCxnSpPr/>
        </xdr:nvCxnSpPr>
        <xdr:spPr>
          <a:xfrm rot="10800000" flipH="1">
            <a:off x="13146656" y="981073"/>
            <a:ext cx="4512" cy="1243594"/>
          </a:xfrm>
          <a:prstGeom prst="line">
            <a:avLst/>
          </a:prstGeom>
          <a:ln w="349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Conector de Seta Reta 19">
            <a:extLst>
              <a:ext uri="{FF2B5EF4-FFF2-40B4-BE49-F238E27FC236}">
                <a16:creationId xmlns:a16="http://schemas.microsoft.com/office/drawing/2014/main" id="{F57FF603-795C-4C7A-BE3D-A3A0D8C73153}"/>
              </a:ext>
            </a:extLst>
          </xdr:cNvPr>
          <xdr:cNvCxnSpPr/>
        </xdr:nvCxnSpPr>
        <xdr:spPr>
          <a:xfrm>
            <a:off x="13162837" y="1568996"/>
            <a:ext cx="527471" cy="3473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Conector de Seta Reta 18">
            <a:extLst>
              <a:ext uri="{FF2B5EF4-FFF2-40B4-BE49-F238E27FC236}">
                <a16:creationId xmlns:a16="http://schemas.microsoft.com/office/drawing/2014/main" id="{DBA4D3E0-656F-4F5E-9ACF-7CF8EF9B7E88}"/>
              </a:ext>
            </a:extLst>
          </xdr:cNvPr>
          <xdr:cNvCxnSpPr/>
        </xdr:nvCxnSpPr>
        <xdr:spPr>
          <a:xfrm flipV="1">
            <a:off x="12855022" y="996476"/>
            <a:ext cx="328862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</xdr:row>
      <xdr:rowOff>19712</xdr:rowOff>
    </xdr:from>
    <xdr:to>
      <xdr:col>7</xdr:col>
      <xdr:colOff>14173</xdr:colOff>
      <xdr:row>15</xdr:row>
      <xdr:rowOff>15039</xdr:rowOff>
    </xdr:to>
    <xdr:grpSp>
      <xdr:nvGrpSpPr>
        <xdr:cNvPr id="57" name="Agrupar 56">
          <a:extLst>
            <a:ext uri="{FF2B5EF4-FFF2-40B4-BE49-F238E27FC236}">
              <a16:creationId xmlns:a16="http://schemas.microsoft.com/office/drawing/2014/main" id="{2DDFFEC3-DF2E-608B-5CF5-075038C52B23}"/>
            </a:ext>
          </a:extLst>
        </xdr:cNvPr>
        <xdr:cNvGrpSpPr/>
      </xdr:nvGrpSpPr>
      <xdr:grpSpPr>
        <a:xfrm>
          <a:off x="7418294" y="2104006"/>
          <a:ext cx="2266555" cy="1284004"/>
          <a:chOff x="5591843" y="4809961"/>
          <a:chExt cx="888401" cy="1268130"/>
        </a:xfrm>
      </xdr:grpSpPr>
      <xdr:cxnSp macro="">
        <xdr:nvCxnSpPr>
          <xdr:cNvPr id="46" name="Conector de Seta Reta 45">
            <a:extLst>
              <a:ext uri="{FF2B5EF4-FFF2-40B4-BE49-F238E27FC236}">
                <a16:creationId xmlns:a16="http://schemas.microsoft.com/office/drawing/2014/main" id="{297DC916-BDDB-4C29-B1B0-A4C1D6E2911D}"/>
              </a:ext>
            </a:extLst>
          </xdr:cNvPr>
          <xdr:cNvCxnSpPr/>
        </xdr:nvCxnSpPr>
        <xdr:spPr>
          <a:xfrm>
            <a:off x="5591843" y="4809961"/>
            <a:ext cx="393160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Conector reto 46">
            <a:extLst>
              <a:ext uri="{FF2B5EF4-FFF2-40B4-BE49-F238E27FC236}">
                <a16:creationId xmlns:a16="http://schemas.microsoft.com/office/drawing/2014/main" id="{41CC28D2-D3BE-4049-A9AF-7C5CFFD11B21}"/>
              </a:ext>
            </a:extLst>
          </xdr:cNvPr>
          <xdr:cNvCxnSpPr/>
        </xdr:nvCxnSpPr>
        <xdr:spPr>
          <a:xfrm>
            <a:off x="5966140" y="4822845"/>
            <a:ext cx="4793" cy="1254105"/>
          </a:xfrm>
          <a:prstGeom prst="line">
            <a:avLst/>
          </a:prstGeom>
          <a:ln w="349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Conector de Seta Reta 47">
            <a:extLst>
              <a:ext uri="{FF2B5EF4-FFF2-40B4-BE49-F238E27FC236}">
                <a16:creationId xmlns:a16="http://schemas.microsoft.com/office/drawing/2014/main" id="{3A7B73FE-74FA-4677-8E05-997D15499F10}"/>
              </a:ext>
            </a:extLst>
          </xdr:cNvPr>
          <xdr:cNvCxnSpPr/>
        </xdr:nvCxnSpPr>
        <xdr:spPr>
          <a:xfrm>
            <a:off x="5597303" y="6078091"/>
            <a:ext cx="393160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Conector de Seta Reta 57">
            <a:extLst>
              <a:ext uri="{FF2B5EF4-FFF2-40B4-BE49-F238E27FC236}">
                <a16:creationId xmlns:a16="http://schemas.microsoft.com/office/drawing/2014/main" id="{138A5967-CEC0-5AB7-6B94-B0979C69AC69}"/>
              </a:ext>
            </a:extLst>
          </xdr:cNvPr>
          <xdr:cNvCxnSpPr/>
        </xdr:nvCxnSpPr>
        <xdr:spPr>
          <a:xfrm>
            <a:off x="5937243" y="4811813"/>
            <a:ext cx="543001" cy="3487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1437601</xdr:colOff>
      <xdr:row>8</xdr:row>
      <xdr:rowOff>176561</xdr:rowOff>
    </xdr:from>
    <xdr:to>
      <xdr:col>9</xdr:col>
      <xdr:colOff>9292</xdr:colOff>
      <xdr:row>15</xdr:row>
      <xdr:rowOff>218334</xdr:rowOff>
    </xdr:to>
    <xdr:grpSp>
      <xdr:nvGrpSpPr>
        <xdr:cNvPr id="63" name="Agrupar 62">
          <a:extLst>
            <a:ext uri="{FF2B5EF4-FFF2-40B4-BE49-F238E27FC236}">
              <a16:creationId xmlns:a16="http://schemas.microsoft.com/office/drawing/2014/main" id="{42B529D7-6A74-83EE-41BD-5D26662632B4}"/>
            </a:ext>
          </a:extLst>
        </xdr:cNvPr>
        <xdr:cNvGrpSpPr/>
      </xdr:nvGrpSpPr>
      <xdr:grpSpPr>
        <a:xfrm>
          <a:off x="11108277" y="2025532"/>
          <a:ext cx="1149044" cy="1565773"/>
          <a:chOff x="12846360" y="991507"/>
          <a:chExt cx="629492" cy="1499021"/>
        </a:xfrm>
      </xdr:grpSpPr>
      <xdr:cxnSp macro="">
        <xdr:nvCxnSpPr>
          <xdr:cNvPr id="65" name="Conector reto 64">
            <a:extLst>
              <a:ext uri="{FF2B5EF4-FFF2-40B4-BE49-F238E27FC236}">
                <a16:creationId xmlns:a16="http://schemas.microsoft.com/office/drawing/2014/main" id="{60AE1D9C-4463-1EB8-1BF3-72297FEC0E8B}"/>
              </a:ext>
            </a:extLst>
          </xdr:cNvPr>
          <xdr:cNvCxnSpPr/>
        </xdr:nvCxnSpPr>
        <xdr:spPr>
          <a:xfrm flipV="1">
            <a:off x="13151167" y="991507"/>
            <a:ext cx="0" cy="1494466"/>
          </a:xfrm>
          <a:prstGeom prst="line">
            <a:avLst/>
          </a:prstGeom>
          <a:ln w="349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6" name="Conector de Seta Reta 65">
            <a:extLst>
              <a:ext uri="{FF2B5EF4-FFF2-40B4-BE49-F238E27FC236}">
                <a16:creationId xmlns:a16="http://schemas.microsoft.com/office/drawing/2014/main" id="{5500D2AD-C92B-6533-F2B8-8443E5D0798E}"/>
              </a:ext>
            </a:extLst>
          </xdr:cNvPr>
          <xdr:cNvCxnSpPr/>
        </xdr:nvCxnSpPr>
        <xdr:spPr>
          <a:xfrm>
            <a:off x="13139962" y="1633373"/>
            <a:ext cx="335890" cy="1903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Conector de Seta Reta 66">
            <a:extLst>
              <a:ext uri="{FF2B5EF4-FFF2-40B4-BE49-F238E27FC236}">
                <a16:creationId xmlns:a16="http://schemas.microsoft.com/office/drawing/2014/main" id="{C47C066B-0070-E285-9B64-BD0FEECEB9F2}"/>
              </a:ext>
            </a:extLst>
          </xdr:cNvPr>
          <xdr:cNvCxnSpPr/>
        </xdr:nvCxnSpPr>
        <xdr:spPr>
          <a:xfrm flipV="1">
            <a:off x="12855022" y="996476"/>
            <a:ext cx="328862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" name="Conector de Seta Reta 67">
            <a:extLst>
              <a:ext uri="{FF2B5EF4-FFF2-40B4-BE49-F238E27FC236}">
                <a16:creationId xmlns:a16="http://schemas.microsoft.com/office/drawing/2014/main" id="{CEC6BEBB-4BBB-CA30-B2BA-5C12C792BF9E}"/>
              </a:ext>
            </a:extLst>
          </xdr:cNvPr>
          <xdr:cNvCxnSpPr/>
        </xdr:nvCxnSpPr>
        <xdr:spPr>
          <a:xfrm flipV="1">
            <a:off x="12846360" y="2490528"/>
            <a:ext cx="328862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13606</xdr:colOff>
      <xdr:row>15</xdr:row>
      <xdr:rowOff>15974</xdr:rowOff>
    </xdr:from>
    <xdr:to>
      <xdr:col>5</xdr:col>
      <xdr:colOff>7236</xdr:colOff>
      <xdr:row>32</xdr:row>
      <xdr:rowOff>22411</xdr:rowOff>
    </xdr:to>
    <xdr:grpSp>
      <xdr:nvGrpSpPr>
        <xdr:cNvPr id="73" name="Agrupar 72">
          <a:extLst>
            <a:ext uri="{FF2B5EF4-FFF2-40B4-BE49-F238E27FC236}">
              <a16:creationId xmlns:a16="http://schemas.microsoft.com/office/drawing/2014/main" id="{CB755251-4E77-D427-089A-3BE41A40B026}"/>
            </a:ext>
          </a:extLst>
        </xdr:cNvPr>
        <xdr:cNvGrpSpPr/>
      </xdr:nvGrpSpPr>
      <xdr:grpSpPr>
        <a:xfrm>
          <a:off x="3924459" y="3388945"/>
          <a:ext cx="856483" cy="4242260"/>
          <a:chOff x="1066159" y="1848751"/>
          <a:chExt cx="873562" cy="2682442"/>
        </a:xfrm>
      </xdr:grpSpPr>
      <xdr:cxnSp macro="">
        <xdr:nvCxnSpPr>
          <xdr:cNvPr id="75" name="Conector reto 74">
            <a:extLst>
              <a:ext uri="{FF2B5EF4-FFF2-40B4-BE49-F238E27FC236}">
                <a16:creationId xmlns:a16="http://schemas.microsoft.com/office/drawing/2014/main" id="{0FF0F487-6264-A579-8D2B-6315045CE1CB}"/>
              </a:ext>
            </a:extLst>
          </xdr:cNvPr>
          <xdr:cNvCxnSpPr/>
        </xdr:nvCxnSpPr>
        <xdr:spPr>
          <a:xfrm>
            <a:off x="1423147" y="1860176"/>
            <a:ext cx="8425" cy="2671017"/>
          </a:xfrm>
          <a:prstGeom prst="line">
            <a:avLst/>
          </a:prstGeom>
          <a:ln w="349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" name="Conector de Seta Reta 75">
            <a:extLst>
              <a:ext uri="{FF2B5EF4-FFF2-40B4-BE49-F238E27FC236}">
                <a16:creationId xmlns:a16="http://schemas.microsoft.com/office/drawing/2014/main" id="{1CB6A255-6373-A103-9A5C-3EEE8FB53A14}"/>
              </a:ext>
            </a:extLst>
          </xdr:cNvPr>
          <xdr:cNvCxnSpPr/>
        </xdr:nvCxnSpPr>
        <xdr:spPr>
          <a:xfrm>
            <a:off x="1071602" y="4524873"/>
            <a:ext cx="391886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" name="Conector de Seta Reta 76">
            <a:extLst>
              <a:ext uri="{FF2B5EF4-FFF2-40B4-BE49-F238E27FC236}">
                <a16:creationId xmlns:a16="http://schemas.microsoft.com/office/drawing/2014/main" id="{67E163AD-16AD-2079-52F1-7C9CBF2B7180}"/>
              </a:ext>
            </a:extLst>
          </xdr:cNvPr>
          <xdr:cNvCxnSpPr/>
        </xdr:nvCxnSpPr>
        <xdr:spPr>
          <a:xfrm>
            <a:off x="1412592" y="1848751"/>
            <a:ext cx="527129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Conector de Seta Reta 77">
            <a:extLst>
              <a:ext uri="{FF2B5EF4-FFF2-40B4-BE49-F238E27FC236}">
                <a16:creationId xmlns:a16="http://schemas.microsoft.com/office/drawing/2014/main" id="{67B79C90-7AB4-1AA3-9E5E-48F5699300B7}"/>
              </a:ext>
            </a:extLst>
          </xdr:cNvPr>
          <xdr:cNvCxnSpPr/>
        </xdr:nvCxnSpPr>
        <xdr:spPr>
          <a:xfrm>
            <a:off x="1066159" y="3692024"/>
            <a:ext cx="391886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Conector de Seta Reta 78">
            <a:extLst>
              <a:ext uri="{FF2B5EF4-FFF2-40B4-BE49-F238E27FC236}">
                <a16:creationId xmlns:a16="http://schemas.microsoft.com/office/drawing/2014/main" id="{0F53D70F-CA61-64D0-8877-7564B88788A4}"/>
              </a:ext>
            </a:extLst>
          </xdr:cNvPr>
          <xdr:cNvCxnSpPr/>
        </xdr:nvCxnSpPr>
        <xdr:spPr>
          <a:xfrm>
            <a:off x="1082567" y="2901786"/>
            <a:ext cx="391886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4189</xdr:colOff>
      <xdr:row>20</xdr:row>
      <xdr:rowOff>228860</xdr:rowOff>
    </xdr:from>
    <xdr:to>
      <xdr:col>9</xdr:col>
      <xdr:colOff>15040</xdr:colOff>
      <xdr:row>32</xdr:row>
      <xdr:rowOff>55540</xdr:rowOff>
    </xdr:to>
    <xdr:grpSp>
      <xdr:nvGrpSpPr>
        <xdr:cNvPr id="95" name="Agrupar 94">
          <a:extLst>
            <a:ext uri="{FF2B5EF4-FFF2-40B4-BE49-F238E27FC236}">
              <a16:creationId xmlns:a16="http://schemas.microsoft.com/office/drawing/2014/main" id="{85B303E6-6304-7D63-E087-2D0D8D35FD59}"/>
            </a:ext>
          </a:extLst>
        </xdr:cNvPr>
        <xdr:cNvGrpSpPr/>
      </xdr:nvGrpSpPr>
      <xdr:grpSpPr>
        <a:xfrm>
          <a:off x="11266101" y="4778448"/>
          <a:ext cx="996968" cy="2885886"/>
          <a:chOff x="7870718" y="4565536"/>
          <a:chExt cx="638381" cy="2807445"/>
        </a:xfrm>
      </xdr:grpSpPr>
      <xdr:cxnSp macro="">
        <xdr:nvCxnSpPr>
          <xdr:cNvPr id="81" name="Conector reto 80">
            <a:extLst>
              <a:ext uri="{FF2B5EF4-FFF2-40B4-BE49-F238E27FC236}">
                <a16:creationId xmlns:a16="http://schemas.microsoft.com/office/drawing/2014/main" id="{F9647417-59F9-0BA2-BF34-E25BE1340BE5}"/>
              </a:ext>
            </a:extLst>
          </xdr:cNvPr>
          <xdr:cNvCxnSpPr/>
        </xdr:nvCxnSpPr>
        <xdr:spPr>
          <a:xfrm>
            <a:off x="8234962" y="4571792"/>
            <a:ext cx="3090" cy="2801189"/>
          </a:xfrm>
          <a:prstGeom prst="line">
            <a:avLst/>
          </a:prstGeom>
          <a:ln w="349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2" name="Conector de Seta Reta 81">
            <a:extLst>
              <a:ext uri="{FF2B5EF4-FFF2-40B4-BE49-F238E27FC236}">
                <a16:creationId xmlns:a16="http://schemas.microsoft.com/office/drawing/2014/main" id="{B5F3BCAD-C137-8D11-2CA5-C071354D8B71}"/>
              </a:ext>
            </a:extLst>
          </xdr:cNvPr>
          <xdr:cNvCxnSpPr/>
        </xdr:nvCxnSpPr>
        <xdr:spPr>
          <a:xfrm>
            <a:off x="7875313" y="7366426"/>
            <a:ext cx="371556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3" name="Conector de Seta Reta 82">
            <a:extLst>
              <a:ext uri="{FF2B5EF4-FFF2-40B4-BE49-F238E27FC236}">
                <a16:creationId xmlns:a16="http://schemas.microsoft.com/office/drawing/2014/main" id="{6F8FF032-F121-581E-5D15-65833D08C95E}"/>
              </a:ext>
            </a:extLst>
          </xdr:cNvPr>
          <xdr:cNvCxnSpPr/>
        </xdr:nvCxnSpPr>
        <xdr:spPr>
          <a:xfrm>
            <a:off x="8222951" y="4565536"/>
            <a:ext cx="286148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" name="Conector de Seta Reta 85">
            <a:extLst>
              <a:ext uri="{FF2B5EF4-FFF2-40B4-BE49-F238E27FC236}">
                <a16:creationId xmlns:a16="http://schemas.microsoft.com/office/drawing/2014/main" id="{6D12818C-C89E-72A3-9D02-EA8A17F96A7F}"/>
              </a:ext>
            </a:extLst>
          </xdr:cNvPr>
          <xdr:cNvCxnSpPr/>
        </xdr:nvCxnSpPr>
        <xdr:spPr>
          <a:xfrm>
            <a:off x="7871302" y="5788488"/>
            <a:ext cx="371764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0" name="Conector de Seta Reta 89">
            <a:extLst>
              <a:ext uri="{FF2B5EF4-FFF2-40B4-BE49-F238E27FC236}">
                <a16:creationId xmlns:a16="http://schemas.microsoft.com/office/drawing/2014/main" id="{735E33C9-C63B-B7FB-6985-6BA7860652E0}"/>
              </a:ext>
            </a:extLst>
          </xdr:cNvPr>
          <xdr:cNvCxnSpPr/>
        </xdr:nvCxnSpPr>
        <xdr:spPr>
          <a:xfrm>
            <a:off x="7870718" y="4573683"/>
            <a:ext cx="379955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3247</xdr:colOff>
      <xdr:row>12</xdr:row>
      <xdr:rowOff>22411</xdr:rowOff>
    </xdr:from>
    <xdr:to>
      <xdr:col>11</xdr:col>
      <xdr:colOff>9292</xdr:colOff>
      <xdr:row>20</xdr:row>
      <xdr:rowOff>240746</xdr:rowOff>
    </xdr:to>
    <xdr:grpSp>
      <xdr:nvGrpSpPr>
        <xdr:cNvPr id="96" name="Agrupar 95">
          <a:extLst>
            <a:ext uri="{FF2B5EF4-FFF2-40B4-BE49-F238E27FC236}">
              <a16:creationId xmlns:a16="http://schemas.microsoft.com/office/drawing/2014/main" id="{35FC18E1-BAD5-FAE6-3B1B-11C781F6451B}"/>
            </a:ext>
          </a:extLst>
        </xdr:cNvPr>
        <xdr:cNvGrpSpPr/>
      </xdr:nvGrpSpPr>
      <xdr:grpSpPr>
        <a:xfrm>
          <a:off x="14055423" y="2745440"/>
          <a:ext cx="1137840" cy="2044894"/>
          <a:chOff x="12846360" y="991507"/>
          <a:chExt cx="629492" cy="1499021"/>
        </a:xfrm>
      </xdr:grpSpPr>
      <xdr:cxnSp macro="">
        <xdr:nvCxnSpPr>
          <xdr:cNvPr id="97" name="Conector reto 96">
            <a:extLst>
              <a:ext uri="{FF2B5EF4-FFF2-40B4-BE49-F238E27FC236}">
                <a16:creationId xmlns:a16="http://schemas.microsoft.com/office/drawing/2014/main" id="{BBA32143-DA8F-5CF9-C7EE-B56B8600E108}"/>
              </a:ext>
            </a:extLst>
          </xdr:cNvPr>
          <xdr:cNvCxnSpPr/>
        </xdr:nvCxnSpPr>
        <xdr:spPr>
          <a:xfrm flipV="1">
            <a:off x="13151167" y="991507"/>
            <a:ext cx="0" cy="1494466"/>
          </a:xfrm>
          <a:prstGeom prst="line">
            <a:avLst/>
          </a:prstGeom>
          <a:ln w="349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8" name="Conector de Seta Reta 97">
            <a:extLst>
              <a:ext uri="{FF2B5EF4-FFF2-40B4-BE49-F238E27FC236}">
                <a16:creationId xmlns:a16="http://schemas.microsoft.com/office/drawing/2014/main" id="{E806EE15-C5ED-2146-EF8E-87217A5E6E20}"/>
              </a:ext>
            </a:extLst>
          </xdr:cNvPr>
          <xdr:cNvCxnSpPr/>
        </xdr:nvCxnSpPr>
        <xdr:spPr>
          <a:xfrm>
            <a:off x="13139962" y="1633373"/>
            <a:ext cx="335890" cy="1903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9" name="Conector de Seta Reta 98">
            <a:extLst>
              <a:ext uri="{FF2B5EF4-FFF2-40B4-BE49-F238E27FC236}">
                <a16:creationId xmlns:a16="http://schemas.microsoft.com/office/drawing/2014/main" id="{5B9B37C3-5F45-16D4-0BC6-68F2B928F15B}"/>
              </a:ext>
            </a:extLst>
          </xdr:cNvPr>
          <xdr:cNvCxnSpPr/>
        </xdr:nvCxnSpPr>
        <xdr:spPr>
          <a:xfrm flipV="1">
            <a:off x="12855022" y="996476"/>
            <a:ext cx="328862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Conector de Seta Reta 99">
            <a:extLst>
              <a:ext uri="{FF2B5EF4-FFF2-40B4-BE49-F238E27FC236}">
                <a16:creationId xmlns:a16="http://schemas.microsoft.com/office/drawing/2014/main" id="{E6BF33A9-D11C-C5B3-86F1-03570683A8C2}"/>
              </a:ext>
            </a:extLst>
          </xdr:cNvPr>
          <xdr:cNvCxnSpPr/>
        </xdr:nvCxnSpPr>
        <xdr:spPr>
          <a:xfrm flipV="1">
            <a:off x="12846360" y="2490528"/>
            <a:ext cx="328862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1796142</xdr:colOff>
      <xdr:row>25</xdr:row>
      <xdr:rowOff>224118</xdr:rowOff>
    </xdr:from>
    <xdr:to>
      <xdr:col>11</xdr:col>
      <xdr:colOff>15871</xdr:colOff>
      <xdr:row>32</xdr:row>
      <xdr:rowOff>10027</xdr:rowOff>
    </xdr:to>
    <xdr:grpSp>
      <xdr:nvGrpSpPr>
        <xdr:cNvPr id="101" name="Agrupar 100">
          <a:extLst>
            <a:ext uri="{FF2B5EF4-FFF2-40B4-BE49-F238E27FC236}">
              <a16:creationId xmlns:a16="http://schemas.microsoft.com/office/drawing/2014/main" id="{D583690C-7101-5A46-0370-DFE45873FE1C}"/>
            </a:ext>
          </a:extLst>
        </xdr:cNvPr>
        <xdr:cNvGrpSpPr/>
      </xdr:nvGrpSpPr>
      <xdr:grpSpPr>
        <a:xfrm>
          <a:off x="14044171" y="6028765"/>
          <a:ext cx="1155671" cy="1590056"/>
          <a:chOff x="12822052" y="991507"/>
          <a:chExt cx="649204" cy="1499021"/>
        </a:xfrm>
      </xdr:grpSpPr>
      <xdr:cxnSp macro="">
        <xdr:nvCxnSpPr>
          <xdr:cNvPr id="102" name="Conector reto 101">
            <a:extLst>
              <a:ext uri="{FF2B5EF4-FFF2-40B4-BE49-F238E27FC236}">
                <a16:creationId xmlns:a16="http://schemas.microsoft.com/office/drawing/2014/main" id="{1D515644-C816-9306-8028-C3F5B33B2C2E}"/>
              </a:ext>
            </a:extLst>
          </xdr:cNvPr>
          <xdr:cNvCxnSpPr/>
        </xdr:nvCxnSpPr>
        <xdr:spPr>
          <a:xfrm flipV="1">
            <a:off x="13151167" y="991507"/>
            <a:ext cx="0" cy="1494466"/>
          </a:xfrm>
          <a:prstGeom prst="line">
            <a:avLst/>
          </a:prstGeom>
          <a:ln w="349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" name="Conector de Seta Reta 102">
            <a:extLst>
              <a:ext uri="{FF2B5EF4-FFF2-40B4-BE49-F238E27FC236}">
                <a16:creationId xmlns:a16="http://schemas.microsoft.com/office/drawing/2014/main" id="{E31A677D-E052-74A7-6200-46703A2F0E20}"/>
              </a:ext>
            </a:extLst>
          </xdr:cNvPr>
          <xdr:cNvCxnSpPr/>
        </xdr:nvCxnSpPr>
        <xdr:spPr>
          <a:xfrm>
            <a:off x="13100063" y="2484440"/>
            <a:ext cx="371193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4" name="Conector de Seta Reta 103">
            <a:extLst>
              <a:ext uri="{FF2B5EF4-FFF2-40B4-BE49-F238E27FC236}">
                <a16:creationId xmlns:a16="http://schemas.microsoft.com/office/drawing/2014/main" id="{5F60005F-B05B-C109-36DB-E4D649B92CBF}"/>
              </a:ext>
            </a:extLst>
          </xdr:cNvPr>
          <xdr:cNvCxnSpPr/>
        </xdr:nvCxnSpPr>
        <xdr:spPr>
          <a:xfrm>
            <a:off x="12822052" y="996476"/>
            <a:ext cx="361833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5" name="Conector de Seta Reta 104">
            <a:extLst>
              <a:ext uri="{FF2B5EF4-FFF2-40B4-BE49-F238E27FC236}">
                <a16:creationId xmlns:a16="http://schemas.microsoft.com/office/drawing/2014/main" id="{CC1E18F4-3563-6556-D994-B4E131E16B03}"/>
              </a:ext>
            </a:extLst>
          </xdr:cNvPr>
          <xdr:cNvCxnSpPr/>
        </xdr:nvCxnSpPr>
        <xdr:spPr>
          <a:xfrm>
            <a:off x="12827044" y="2490528"/>
            <a:ext cx="348177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1510916</xdr:colOff>
      <xdr:row>15</xdr:row>
      <xdr:rowOff>184944</xdr:rowOff>
    </xdr:from>
    <xdr:to>
      <xdr:col>13</xdr:col>
      <xdr:colOff>5448</xdr:colOff>
      <xdr:row>23</xdr:row>
      <xdr:rowOff>31216</xdr:rowOff>
    </xdr:to>
    <xdr:grpSp>
      <xdr:nvGrpSpPr>
        <xdr:cNvPr id="109" name="Agrupar 108">
          <a:extLst>
            <a:ext uri="{FF2B5EF4-FFF2-40B4-BE49-F238E27FC236}">
              <a16:creationId xmlns:a16="http://schemas.microsoft.com/office/drawing/2014/main" id="{13602B71-5795-2DE8-3355-3C1C843F5321}"/>
            </a:ext>
          </a:extLst>
        </xdr:cNvPr>
        <xdr:cNvGrpSpPr/>
      </xdr:nvGrpSpPr>
      <xdr:grpSpPr>
        <a:xfrm>
          <a:off x="16694887" y="3557915"/>
          <a:ext cx="881385" cy="1784889"/>
          <a:chOff x="12842519" y="991507"/>
          <a:chExt cx="623737" cy="1494466"/>
        </a:xfrm>
      </xdr:grpSpPr>
      <xdr:cxnSp macro="">
        <xdr:nvCxnSpPr>
          <xdr:cNvPr id="110" name="Conector reto 109">
            <a:extLst>
              <a:ext uri="{FF2B5EF4-FFF2-40B4-BE49-F238E27FC236}">
                <a16:creationId xmlns:a16="http://schemas.microsoft.com/office/drawing/2014/main" id="{C5B39525-FF25-A80F-B2A7-675F8CCC19D4}"/>
              </a:ext>
            </a:extLst>
          </xdr:cNvPr>
          <xdr:cNvCxnSpPr/>
        </xdr:nvCxnSpPr>
        <xdr:spPr>
          <a:xfrm flipV="1">
            <a:off x="13151167" y="991507"/>
            <a:ext cx="0" cy="1494466"/>
          </a:xfrm>
          <a:prstGeom prst="line">
            <a:avLst/>
          </a:prstGeom>
          <a:ln w="349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" name="Conector de Seta Reta 110">
            <a:extLst>
              <a:ext uri="{FF2B5EF4-FFF2-40B4-BE49-F238E27FC236}">
                <a16:creationId xmlns:a16="http://schemas.microsoft.com/office/drawing/2014/main" id="{3F974459-B243-A8D9-8BF8-0A7A520AB36C}"/>
              </a:ext>
            </a:extLst>
          </xdr:cNvPr>
          <xdr:cNvCxnSpPr/>
        </xdr:nvCxnSpPr>
        <xdr:spPr>
          <a:xfrm flipV="1">
            <a:off x="13139962" y="1642818"/>
            <a:ext cx="326294" cy="47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" name="Conector de Seta Reta 111">
            <a:extLst>
              <a:ext uri="{FF2B5EF4-FFF2-40B4-BE49-F238E27FC236}">
                <a16:creationId xmlns:a16="http://schemas.microsoft.com/office/drawing/2014/main" id="{7426E0A7-7EA3-D86F-9BF2-80B2399EDDAD}"/>
              </a:ext>
            </a:extLst>
          </xdr:cNvPr>
          <xdr:cNvCxnSpPr/>
        </xdr:nvCxnSpPr>
        <xdr:spPr>
          <a:xfrm>
            <a:off x="12844074" y="993402"/>
            <a:ext cx="307250" cy="4958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3" name="Conector de Seta Reta 112">
            <a:extLst>
              <a:ext uri="{FF2B5EF4-FFF2-40B4-BE49-F238E27FC236}">
                <a16:creationId xmlns:a16="http://schemas.microsoft.com/office/drawing/2014/main" id="{D840F1AE-8730-8F4C-E7E0-95EE8588D9ED}"/>
              </a:ext>
            </a:extLst>
          </xdr:cNvPr>
          <xdr:cNvCxnSpPr/>
        </xdr:nvCxnSpPr>
        <xdr:spPr>
          <a:xfrm>
            <a:off x="12842519" y="2465976"/>
            <a:ext cx="305996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3237</xdr:colOff>
      <xdr:row>22</xdr:row>
      <xdr:rowOff>231961</xdr:rowOff>
    </xdr:from>
    <xdr:to>
      <xdr:col>13</xdr:col>
      <xdr:colOff>1351</xdr:colOff>
      <xdr:row>32</xdr:row>
      <xdr:rowOff>9525</xdr:rowOff>
    </xdr:to>
    <xdr:grpSp>
      <xdr:nvGrpSpPr>
        <xdr:cNvPr id="114" name="Agrupar 113">
          <a:extLst>
            <a:ext uri="{FF2B5EF4-FFF2-40B4-BE49-F238E27FC236}">
              <a16:creationId xmlns:a16="http://schemas.microsoft.com/office/drawing/2014/main" id="{C3044DCD-468D-D48A-6DDA-79EE15A9467D}"/>
            </a:ext>
          </a:extLst>
        </xdr:cNvPr>
        <xdr:cNvGrpSpPr/>
      </xdr:nvGrpSpPr>
      <xdr:grpSpPr>
        <a:xfrm>
          <a:off x="16700002" y="5308226"/>
          <a:ext cx="872173" cy="2310093"/>
          <a:chOff x="12838424" y="991507"/>
          <a:chExt cx="637428" cy="1499021"/>
        </a:xfrm>
      </xdr:grpSpPr>
      <xdr:cxnSp macro="">
        <xdr:nvCxnSpPr>
          <xdr:cNvPr id="115" name="Conector reto 114">
            <a:extLst>
              <a:ext uri="{FF2B5EF4-FFF2-40B4-BE49-F238E27FC236}">
                <a16:creationId xmlns:a16="http://schemas.microsoft.com/office/drawing/2014/main" id="{B53F38F7-5214-321D-0359-37BFCD417FF6}"/>
              </a:ext>
            </a:extLst>
          </xdr:cNvPr>
          <xdr:cNvCxnSpPr/>
        </xdr:nvCxnSpPr>
        <xdr:spPr>
          <a:xfrm flipV="1">
            <a:off x="13151167" y="991507"/>
            <a:ext cx="0" cy="1494466"/>
          </a:xfrm>
          <a:prstGeom prst="line">
            <a:avLst/>
          </a:prstGeom>
          <a:ln w="349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6" name="Conector de Seta Reta 115">
            <a:extLst>
              <a:ext uri="{FF2B5EF4-FFF2-40B4-BE49-F238E27FC236}">
                <a16:creationId xmlns:a16="http://schemas.microsoft.com/office/drawing/2014/main" id="{42F0E7B7-32B1-8052-8E01-951935B1B340}"/>
              </a:ext>
            </a:extLst>
          </xdr:cNvPr>
          <xdr:cNvCxnSpPr/>
        </xdr:nvCxnSpPr>
        <xdr:spPr>
          <a:xfrm>
            <a:off x="13139962" y="1633373"/>
            <a:ext cx="335890" cy="1903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8" name="Conector de Seta Reta 117">
            <a:extLst>
              <a:ext uri="{FF2B5EF4-FFF2-40B4-BE49-F238E27FC236}">
                <a16:creationId xmlns:a16="http://schemas.microsoft.com/office/drawing/2014/main" id="{ED1A4B39-B1AD-4184-8086-73ADE7A92215}"/>
              </a:ext>
            </a:extLst>
          </xdr:cNvPr>
          <xdr:cNvCxnSpPr/>
        </xdr:nvCxnSpPr>
        <xdr:spPr>
          <a:xfrm flipV="1">
            <a:off x="12838424" y="2490528"/>
            <a:ext cx="328862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1453245</xdr:colOff>
      <xdr:row>19</xdr:row>
      <xdr:rowOff>5443</xdr:rowOff>
    </xdr:from>
    <xdr:to>
      <xdr:col>15</xdr:col>
      <xdr:colOff>7620</xdr:colOff>
      <xdr:row>27</xdr:row>
      <xdr:rowOff>45720</xdr:rowOff>
    </xdr:to>
    <xdr:grpSp>
      <xdr:nvGrpSpPr>
        <xdr:cNvPr id="119" name="Agrupar 118">
          <a:extLst>
            <a:ext uri="{FF2B5EF4-FFF2-40B4-BE49-F238E27FC236}">
              <a16:creationId xmlns:a16="http://schemas.microsoft.com/office/drawing/2014/main" id="{CE8AC833-C04A-4648-AE49-2D9FECD4BBB9}"/>
            </a:ext>
          </a:extLst>
        </xdr:cNvPr>
        <xdr:cNvGrpSpPr/>
      </xdr:nvGrpSpPr>
      <xdr:grpSpPr>
        <a:xfrm>
          <a:off x="19024069" y="4319708"/>
          <a:ext cx="616257" cy="2046130"/>
          <a:chOff x="12818848" y="991507"/>
          <a:chExt cx="617588" cy="1512694"/>
        </a:xfrm>
      </xdr:grpSpPr>
      <xdr:cxnSp macro="">
        <xdr:nvCxnSpPr>
          <xdr:cNvPr id="120" name="Conector reto 119">
            <a:extLst>
              <a:ext uri="{FF2B5EF4-FFF2-40B4-BE49-F238E27FC236}">
                <a16:creationId xmlns:a16="http://schemas.microsoft.com/office/drawing/2014/main" id="{6A6793AF-226F-CC31-3E87-E7F885A7F1D8}"/>
              </a:ext>
            </a:extLst>
          </xdr:cNvPr>
          <xdr:cNvCxnSpPr/>
        </xdr:nvCxnSpPr>
        <xdr:spPr>
          <a:xfrm flipV="1">
            <a:off x="13151167" y="991507"/>
            <a:ext cx="0" cy="1512694"/>
          </a:xfrm>
          <a:prstGeom prst="line">
            <a:avLst/>
          </a:prstGeom>
          <a:ln w="34925"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1" name="Conector de Seta Reta 120">
            <a:extLst>
              <a:ext uri="{FF2B5EF4-FFF2-40B4-BE49-F238E27FC236}">
                <a16:creationId xmlns:a16="http://schemas.microsoft.com/office/drawing/2014/main" id="{8426FF19-2278-D622-FA37-742D2A26FF79}"/>
              </a:ext>
            </a:extLst>
          </xdr:cNvPr>
          <xdr:cNvCxnSpPr/>
        </xdr:nvCxnSpPr>
        <xdr:spPr>
          <a:xfrm>
            <a:off x="13136186" y="1697179"/>
            <a:ext cx="300250" cy="3649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2" name="Conector de Seta Reta 121">
            <a:extLst>
              <a:ext uri="{FF2B5EF4-FFF2-40B4-BE49-F238E27FC236}">
                <a16:creationId xmlns:a16="http://schemas.microsoft.com/office/drawing/2014/main" id="{A4D120B1-1ACE-02D9-16FB-48032FADBCD2}"/>
              </a:ext>
            </a:extLst>
          </xdr:cNvPr>
          <xdr:cNvCxnSpPr/>
        </xdr:nvCxnSpPr>
        <xdr:spPr>
          <a:xfrm flipV="1">
            <a:off x="12818848" y="998965"/>
            <a:ext cx="349516" cy="1947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3" name="Conector de Seta Reta 122">
            <a:extLst>
              <a:ext uri="{FF2B5EF4-FFF2-40B4-BE49-F238E27FC236}">
                <a16:creationId xmlns:a16="http://schemas.microsoft.com/office/drawing/2014/main" id="{C53527B5-253B-5687-6CFB-3073AF44EA68}"/>
              </a:ext>
            </a:extLst>
          </xdr:cNvPr>
          <xdr:cNvCxnSpPr/>
        </xdr:nvCxnSpPr>
        <xdr:spPr>
          <a:xfrm flipV="1">
            <a:off x="12827481" y="2493428"/>
            <a:ext cx="328862" cy="0"/>
          </a:xfrm>
          <a:prstGeom prst="straightConnector1">
            <a:avLst/>
          </a:prstGeom>
          <a:ln w="34925"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95250</xdr:colOff>
      <xdr:row>42</xdr:row>
      <xdr:rowOff>54427</xdr:rowOff>
    </xdr:from>
    <xdr:to>
      <xdr:col>5</xdr:col>
      <xdr:colOff>557893</xdr:colOff>
      <xdr:row>42</xdr:row>
      <xdr:rowOff>258535</xdr:rowOff>
    </xdr:to>
    <xdr:sp macro="" textlink="">
      <xdr:nvSpPr>
        <xdr:cNvPr id="2" name="Seta: para a Esquerda 1">
          <a:extLst>
            <a:ext uri="{FF2B5EF4-FFF2-40B4-BE49-F238E27FC236}">
              <a16:creationId xmlns:a16="http://schemas.microsoft.com/office/drawing/2014/main" id="{0E4A3687-675E-443B-6048-8A0E7104BE60}"/>
            </a:ext>
          </a:extLst>
        </xdr:cNvPr>
        <xdr:cNvSpPr/>
      </xdr:nvSpPr>
      <xdr:spPr>
        <a:xfrm rot="10800000">
          <a:off x="4884964" y="10844891"/>
          <a:ext cx="462643" cy="204108"/>
        </a:xfrm>
        <a:prstGeom prst="leftArrow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1209675</xdr:colOff>
      <xdr:row>6</xdr:row>
      <xdr:rowOff>9525</xdr:rowOff>
    </xdr:from>
    <xdr:to>
      <xdr:col>9</xdr:col>
      <xdr:colOff>785812</xdr:colOff>
      <xdr:row>24</xdr:row>
      <xdr:rowOff>214312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7099BCBF-4DD1-0220-B232-1C6E7C4B21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63425" y="1438275"/>
              <a:ext cx="6967537" cy="44910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1C14A-11A0-4479-9537-27757A3346EA}">
  <dimension ref="B2:R68"/>
  <sheetViews>
    <sheetView showGridLines="0" tabSelected="1" zoomScale="85" zoomScaleNormal="85" workbookViewId="0">
      <selection activeCell="G6" sqref="G6"/>
    </sheetView>
  </sheetViews>
  <sheetFormatPr defaultRowHeight="15"/>
  <cols>
    <col min="3" max="3" width="0.28515625" customWidth="1"/>
    <col min="4" max="4" width="40.140625" customWidth="1"/>
    <col min="5" max="5" width="13" customWidth="1"/>
    <col min="6" max="6" width="39.7109375" customWidth="1"/>
    <col min="7" max="7" width="33.7109375" customWidth="1"/>
    <col min="8" max="8" width="23.85546875" customWidth="1"/>
    <col min="9" max="9" width="14.85546875" customWidth="1"/>
    <col min="10" max="10" width="27" customWidth="1"/>
    <col min="11" max="11" width="17" customWidth="1"/>
    <col min="12" max="12" width="22.7109375" customWidth="1"/>
    <col min="13" max="13" width="13.140625" customWidth="1"/>
    <col min="14" max="14" width="21.85546875" customWidth="1"/>
    <col min="16" max="16" width="21.85546875" customWidth="1"/>
    <col min="19" max="19" width="35.42578125" bestFit="1" customWidth="1"/>
  </cols>
  <sheetData>
    <row r="2" spans="4:14" ht="28.5">
      <c r="D2" s="9">
        <f>+F43</f>
        <v>2000000</v>
      </c>
      <c r="F2" s="13">
        <f>+F50</f>
        <v>63250000</v>
      </c>
    </row>
    <row r="5" spans="4:14" ht="19.5" thickBot="1">
      <c r="D5" s="3" t="s">
        <v>22</v>
      </c>
    </row>
    <row r="6" spans="4:14" ht="18.75" customHeight="1">
      <c r="D6" s="69">
        <f>+F39*F40*F47</f>
        <v>4250.4000000000005</v>
      </c>
    </row>
    <row r="7" spans="4:14" ht="15" customHeight="1" thickBot="1">
      <c r="D7" s="70"/>
    </row>
    <row r="8" spans="4:14" ht="19.5" thickBot="1">
      <c r="F8" s="3" t="s">
        <v>4</v>
      </c>
      <c r="G8" s="3"/>
      <c r="H8" s="3" t="s">
        <v>6</v>
      </c>
    </row>
    <row r="9" spans="4:14" ht="18.75">
      <c r="F9" s="69">
        <f>+D12*D6</f>
        <v>23000000</v>
      </c>
      <c r="G9" s="4"/>
      <c r="H9" s="69">
        <f>+F15*F9</f>
        <v>10164141.414141413</v>
      </c>
    </row>
    <row r="10" spans="4:14" ht="16.5" customHeight="1" thickBot="1">
      <c r="F10" s="70"/>
      <c r="G10" s="4"/>
      <c r="H10" s="70"/>
    </row>
    <row r="11" spans="4:14" ht="18.75" customHeight="1" thickBot="1">
      <c r="D11" s="3" t="s">
        <v>0</v>
      </c>
      <c r="F11" s="4"/>
      <c r="G11" s="4"/>
      <c r="H11" s="4"/>
      <c r="J11" s="3" t="s">
        <v>10</v>
      </c>
      <c r="L11" s="5"/>
      <c r="M11" s="5"/>
      <c r="N11" s="5"/>
    </row>
    <row r="12" spans="4:14" ht="15" customHeight="1">
      <c r="D12" s="69">
        <f>+F43/F41</f>
        <v>5411.2554112554108</v>
      </c>
      <c r="J12" s="73">
        <f>+H16*H9</f>
        <v>2541035.3535353532</v>
      </c>
      <c r="L12" s="5"/>
      <c r="M12" s="5"/>
      <c r="N12" s="5"/>
    </row>
    <row r="13" spans="4:14" ht="15.75" customHeight="1" thickBot="1">
      <c r="D13" s="70"/>
      <c r="J13" s="74"/>
      <c r="L13" s="5"/>
      <c r="M13" s="5"/>
      <c r="N13" s="5"/>
    </row>
    <row r="14" spans="4:14" ht="16.5" customHeight="1" thickBot="1">
      <c r="F14" s="3" t="s">
        <v>5</v>
      </c>
      <c r="G14" s="3"/>
      <c r="M14" s="5"/>
    </row>
    <row r="15" spans="4:14" ht="18.75" customHeight="1" thickBot="1">
      <c r="F15" s="79">
        <f>+D22*D27*D32</f>
        <v>0.44191919191919188</v>
      </c>
      <c r="G15" s="3"/>
      <c r="H15" s="3" t="s">
        <v>9</v>
      </c>
      <c r="L15" s="3" t="s">
        <v>125</v>
      </c>
      <c r="M15" s="5"/>
    </row>
    <row r="16" spans="4:14" ht="18.75" customHeight="1" thickBot="1">
      <c r="F16" s="80"/>
      <c r="G16" s="3"/>
      <c r="H16" s="67">
        <f>+F22-F27</f>
        <v>0.25</v>
      </c>
      <c r="L16" s="73">
        <f>+J12-J21</f>
        <v>-727173.6016885275</v>
      </c>
      <c r="M16" s="5"/>
    </row>
    <row r="17" spans="2:16" ht="18.75" customHeight="1" thickBot="1">
      <c r="G17" s="3"/>
      <c r="H17" s="68"/>
      <c r="L17" s="74"/>
      <c r="M17" s="5"/>
      <c r="N17" s="5"/>
    </row>
    <row r="18" spans="2:16" ht="18.75" customHeight="1" thickBot="1">
      <c r="G18" s="3"/>
      <c r="L18" s="5"/>
      <c r="M18" s="5"/>
      <c r="N18" s="3" t="s">
        <v>18</v>
      </c>
    </row>
    <row r="19" spans="2:16" ht="18.75" customHeight="1">
      <c r="G19" s="3"/>
      <c r="L19" s="5"/>
      <c r="M19" s="5"/>
      <c r="N19" s="81">
        <f>+L16/L23</f>
        <v>-1.1496815836972768E-2</v>
      </c>
    </row>
    <row r="20" spans="2:16" ht="18.75" customHeight="1" thickBot="1">
      <c r="H20" s="3" t="s">
        <v>12</v>
      </c>
      <c r="J20" s="3" t="s">
        <v>11</v>
      </c>
      <c r="L20" s="5"/>
      <c r="M20" s="5"/>
      <c r="N20" s="82"/>
    </row>
    <row r="21" spans="2:16" ht="19.5" thickBot="1">
      <c r="D21" s="3" t="s">
        <v>1</v>
      </c>
      <c r="E21" s="2"/>
      <c r="F21" s="3" t="s">
        <v>7</v>
      </c>
      <c r="G21" s="3"/>
      <c r="H21" s="73">
        <f>+F58*F47</f>
        <v>287500</v>
      </c>
      <c r="J21" s="73">
        <f>+H21+H26+H32</f>
        <v>3268208.9552238807</v>
      </c>
      <c r="L21" s="5"/>
      <c r="M21" s="5"/>
    </row>
    <row r="22" spans="2:16" ht="21.75" customHeight="1" thickBot="1">
      <c r="B22" s="41">
        <v>1</v>
      </c>
      <c r="D22" s="71">
        <f>+B22*D40</f>
        <v>0.56818181818181812</v>
      </c>
      <c r="F22" s="67">
        <v>2.75</v>
      </c>
      <c r="G22" s="12"/>
      <c r="H22" s="74"/>
      <c r="J22" s="74"/>
      <c r="L22" s="3" t="s">
        <v>17</v>
      </c>
      <c r="M22" s="5"/>
      <c r="P22" s="3" t="s">
        <v>21</v>
      </c>
    </row>
    <row r="23" spans="2:16" ht="18.75" customHeight="1" thickBot="1">
      <c r="D23" s="72"/>
      <c r="F23" s="68"/>
      <c r="G23" s="12"/>
      <c r="I23" s="1"/>
      <c r="K23" s="1"/>
      <c r="L23" s="73">
        <f>+F22*F9</f>
        <v>63250000</v>
      </c>
      <c r="M23" s="5"/>
      <c r="P23" s="77">
        <f>+N19*N27</f>
        <v>-4.6914425915388878E-2</v>
      </c>
    </row>
    <row r="24" spans="2:16" ht="18.75" customHeight="1" thickBot="1">
      <c r="L24" s="74"/>
      <c r="P24" s="78"/>
    </row>
    <row r="25" spans="2:16" ht="20.25" customHeight="1" thickBot="1">
      <c r="H25" s="3" t="s">
        <v>13</v>
      </c>
      <c r="J25" s="3" t="s">
        <v>15</v>
      </c>
    </row>
    <row r="26" spans="2:16" ht="20.25" customHeight="1" thickBot="1">
      <c r="D26" s="3" t="s">
        <v>2</v>
      </c>
      <c r="F26" s="3" t="s">
        <v>8</v>
      </c>
      <c r="G26" s="3"/>
      <c r="H26" s="73">
        <f>+F54*F56/100</f>
        <v>800000</v>
      </c>
      <c r="J26" s="73">
        <f>+F54</f>
        <v>10000000</v>
      </c>
      <c r="N26" s="3" t="s">
        <v>19</v>
      </c>
    </row>
    <row r="27" spans="2:16" ht="20.25" customHeight="1" thickBot="1">
      <c r="D27" s="71">
        <f>+D47</f>
        <v>0.83333333333333337</v>
      </c>
      <c r="F27" s="67">
        <v>2.5</v>
      </c>
      <c r="G27" s="12"/>
      <c r="H27" s="74"/>
      <c r="J27" s="74"/>
      <c r="N27" s="83">
        <f>+L23/L32</f>
        <v>4.080645161290323</v>
      </c>
    </row>
    <row r="28" spans="2:16" ht="20.25" customHeight="1" thickBot="1">
      <c r="D28" s="72"/>
      <c r="F28" s="68"/>
      <c r="G28" s="12"/>
      <c r="N28" s="84"/>
    </row>
    <row r="29" spans="2:16" ht="20.25" customHeight="1" thickBot="1"/>
    <row r="30" spans="2:16" ht="20.25" customHeight="1">
      <c r="F30" s="75" t="str">
        <f>IF(F32&lt;0,"Prejuízo","Lucro")</f>
        <v>Prejuízo</v>
      </c>
      <c r="L30" s="1"/>
    </row>
    <row r="31" spans="2:16" ht="20.25" customHeight="1" thickBot="1">
      <c r="D31" s="3" t="s">
        <v>3</v>
      </c>
      <c r="F31" s="76"/>
      <c r="H31" s="3" t="s">
        <v>14</v>
      </c>
      <c r="J31" s="3" t="s">
        <v>16</v>
      </c>
      <c r="L31" s="3" t="s">
        <v>20</v>
      </c>
    </row>
    <row r="32" spans="2:16" ht="20.25" customHeight="1">
      <c r="D32" s="71">
        <f>+D54</f>
        <v>0.93333333333333335</v>
      </c>
      <c r="F32" s="75">
        <f>+L16</f>
        <v>-727173.6016885275</v>
      </c>
      <c r="H32" s="73">
        <f>+F61*F62/F63*F64*(1+F65/100)*(1+F66/100)</f>
        <v>2180708.9552238807</v>
      </c>
      <c r="J32" s="73">
        <f>+F52</f>
        <v>5500000</v>
      </c>
      <c r="L32" s="73">
        <f>+J26+J32</f>
        <v>15500000</v>
      </c>
    </row>
    <row r="33" spans="4:18" ht="20.25" customHeight="1" thickBot="1">
      <c r="D33" s="72"/>
      <c r="F33" s="76"/>
      <c r="H33" s="74"/>
      <c r="J33" s="74"/>
      <c r="L33" s="74"/>
    </row>
    <row r="34" spans="4:18" ht="20.25" customHeight="1">
      <c r="N34" s="6"/>
    </row>
    <row r="35" spans="4:18" ht="20.25" customHeight="1" thickBot="1">
      <c r="F35" s="57">
        <v>2.75</v>
      </c>
      <c r="G35" s="55" t="s">
        <v>37</v>
      </c>
      <c r="H35" t="s">
        <v>50</v>
      </c>
      <c r="N35" s="38"/>
      <c r="O35" s="66">
        <f>+P23</f>
        <v>-4.6914425915388878E-2</v>
      </c>
    </row>
    <row r="36" spans="4:18" ht="26.25">
      <c r="D36" s="37" t="s">
        <v>1</v>
      </c>
      <c r="F36" s="57">
        <v>2.5</v>
      </c>
      <c r="G36" s="55" t="s">
        <v>37</v>
      </c>
      <c r="H36" t="s">
        <v>52</v>
      </c>
      <c r="M36" s="40"/>
      <c r="N36" s="65">
        <v>0.1</v>
      </c>
      <c r="O36">
        <f t="dataTable" ref="O36:O55" dt2D="0" dtr="0" r1="B22"/>
        <v>-0.19445841418518359</v>
      </c>
      <c r="P36">
        <f>+N36*$D$22</f>
        <v>5.6818181818181816E-2</v>
      </c>
      <c r="Q36" s="56"/>
      <c r="R36" s="39"/>
    </row>
    <row r="37" spans="4:18" ht="26.25">
      <c r="D37" s="31" t="s">
        <v>24</v>
      </c>
      <c r="F37" s="46">
        <v>2</v>
      </c>
      <c r="G37" s="55" t="s">
        <v>37</v>
      </c>
      <c r="H37" t="s">
        <v>51</v>
      </c>
      <c r="M37" s="39"/>
      <c r="N37" s="65">
        <f>+N36+0.1</f>
        <v>0.2</v>
      </c>
      <c r="O37">
        <v>-0.17806463771076197</v>
      </c>
      <c r="P37">
        <f t="shared" ref="P37:P55" si="0">+N37*$D$22</f>
        <v>0.11363636363636363</v>
      </c>
      <c r="Q37" s="56"/>
      <c r="R37" s="39"/>
    </row>
    <row r="38" spans="4:18" ht="26.25">
      <c r="D38" s="29">
        <v>17.600000000000001</v>
      </c>
      <c r="F38" s="47">
        <v>8.8000000000000007</v>
      </c>
      <c r="G38" s="55" t="s">
        <v>37</v>
      </c>
      <c r="H38" t="s">
        <v>38</v>
      </c>
      <c r="M38" s="39"/>
      <c r="N38" s="65">
        <f>+N37+0.1</f>
        <v>0.30000000000000004</v>
      </c>
      <c r="O38" s="39">
        <v>-0.16167086123634031</v>
      </c>
      <c r="P38">
        <f t="shared" si="0"/>
        <v>0.17045454545454547</v>
      </c>
      <c r="Q38" s="56"/>
      <c r="R38" s="39"/>
    </row>
    <row r="39" spans="4:18" ht="26.25">
      <c r="D39" s="30">
        <v>10</v>
      </c>
      <c r="F39" s="48">
        <f>+F38*F37</f>
        <v>17.600000000000001</v>
      </c>
      <c r="G39" s="51" t="s">
        <v>36</v>
      </c>
      <c r="M39" s="39"/>
      <c r="N39" s="65">
        <f t="shared" ref="N39:N55" si="1">+N38+0.1</f>
        <v>0.4</v>
      </c>
      <c r="O39" s="39">
        <v>-0.1452770847619187</v>
      </c>
      <c r="P39">
        <f t="shared" si="0"/>
        <v>0.22727272727272727</v>
      </c>
      <c r="Q39" s="56"/>
      <c r="R39" s="39"/>
    </row>
    <row r="40" spans="4:18" ht="27" thickBot="1">
      <c r="D40" s="34">
        <f>+D39/D38</f>
        <v>0.56818181818181812</v>
      </c>
      <c r="F40" s="49">
        <v>21</v>
      </c>
      <c r="G40" s="55" t="s">
        <v>37</v>
      </c>
      <c r="H40" t="s">
        <v>39</v>
      </c>
      <c r="M40" s="39"/>
      <c r="N40" s="65">
        <f t="shared" si="1"/>
        <v>0.5</v>
      </c>
      <c r="O40" s="39">
        <v>-0.12888330828749703</v>
      </c>
      <c r="P40">
        <f t="shared" si="0"/>
        <v>0.28409090909090906</v>
      </c>
      <c r="Q40" s="56"/>
      <c r="R40" s="39"/>
    </row>
    <row r="41" spans="4:18" ht="26.25">
      <c r="F41" s="50">
        <f>+F40*F39</f>
        <v>369.6</v>
      </c>
      <c r="G41" s="51" t="s">
        <v>36</v>
      </c>
      <c r="M41" s="39"/>
      <c r="N41" s="65">
        <f t="shared" si="1"/>
        <v>0.6</v>
      </c>
      <c r="O41" s="39">
        <v>-0.1124895318130754</v>
      </c>
      <c r="P41">
        <f t="shared" si="0"/>
        <v>0.34090909090909088</v>
      </c>
      <c r="Q41" s="56"/>
      <c r="R41" s="39"/>
    </row>
    <row r="42" spans="4:18" ht="21.75" thickBot="1">
      <c r="G42" s="51"/>
      <c r="L42" s="7"/>
      <c r="M42" s="39"/>
      <c r="N42" s="65">
        <f t="shared" si="1"/>
        <v>0.7</v>
      </c>
      <c r="O42" s="39">
        <v>-9.6095755338653804E-2</v>
      </c>
      <c r="P42">
        <f t="shared" si="0"/>
        <v>0.39772727272727265</v>
      </c>
      <c r="Q42" s="56"/>
      <c r="R42" s="39"/>
    </row>
    <row r="43" spans="4:18" ht="26.25">
      <c r="D43" s="37" t="s">
        <v>2</v>
      </c>
      <c r="F43" s="8">
        <v>2000000</v>
      </c>
      <c r="G43" s="55" t="s">
        <v>37</v>
      </c>
      <c r="H43" t="s">
        <v>40</v>
      </c>
      <c r="L43" s="7"/>
      <c r="M43" s="39"/>
      <c r="N43" s="65">
        <f t="shared" si="1"/>
        <v>0.79999999999999993</v>
      </c>
      <c r="O43" s="39">
        <v>-7.9701978864232137E-2</v>
      </c>
      <c r="P43">
        <f t="shared" si="0"/>
        <v>0.45454545454545447</v>
      </c>
      <c r="Q43" s="56"/>
      <c r="R43" s="39"/>
    </row>
    <row r="44" spans="4:18" ht="26.25">
      <c r="D44" s="31" t="s">
        <v>24</v>
      </c>
      <c r="F44" s="15">
        <f>+F43/F41</f>
        <v>5411.2554112554108</v>
      </c>
      <c r="G44" s="51" t="s">
        <v>36</v>
      </c>
      <c r="L44" s="7"/>
      <c r="M44" s="39"/>
      <c r="N44" s="65">
        <f t="shared" si="1"/>
        <v>0.89999999999999991</v>
      </c>
      <c r="O44" s="39">
        <v>-6.3308202389810511E-2</v>
      </c>
      <c r="P44">
        <f t="shared" si="0"/>
        <v>0.51136363636363624</v>
      </c>
      <c r="Q44" s="56"/>
      <c r="R44" s="39"/>
    </row>
    <row r="45" spans="4:18" ht="21">
      <c r="D45" s="27">
        <v>1200</v>
      </c>
      <c r="G45" s="52"/>
      <c r="L45" s="7"/>
      <c r="M45" s="39"/>
      <c r="N45" s="65">
        <f t="shared" si="1"/>
        <v>0.99999999999999989</v>
      </c>
      <c r="O45" s="39">
        <v>-4.6914425915388906E-2</v>
      </c>
      <c r="P45">
        <f t="shared" si="0"/>
        <v>0.56818181818181801</v>
      </c>
      <c r="Q45" s="56"/>
      <c r="R45" s="39"/>
    </row>
    <row r="46" spans="4:18" ht="21">
      <c r="D46" s="28">
        <v>1000</v>
      </c>
      <c r="G46" s="53"/>
      <c r="L46" s="7"/>
      <c r="M46" s="39"/>
      <c r="N46" s="65">
        <f t="shared" si="1"/>
        <v>1.0999999999999999</v>
      </c>
      <c r="O46" s="39">
        <v>-3.0520649440967239E-2</v>
      </c>
      <c r="P46">
        <f t="shared" si="0"/>
        <v>0.62499999999999989</v>
      </c>
      <c r="Q46" s="56"/>
      <c r="R46" s="39"/>
    </row>
    <row r="47" spans="4:18" ht="27" thickBot="1">
      <c r="D47" s="34">
        <f>+D46/D45</f>
        <v>0.83333333333333337</v>
      </c>
      <c r="F47" s="10">
        <v>11.5</v>
      </c>
      <c r="G47" s="55" t="s">
        <v>37</v>
      </c>
      <c r="H47" t="s">
        <v>41</v>
      </c>
      <c r="L47" s="7"/>
      <c r="M47" s="39"/>
      <c r="N47" s="65">
        <f t="shared" si="1"/>
        <v>1.2</v>
      </c>
      <c r="O47" s="39">
        <v>-1.4126872966545575E-2</v>
      </c>
      <c r="P47">
        <f t="shared" si="0"/>
        <v>0.68181818181818177</v>
      </c>
      <c r="Q47" s="56"/>
      <c r="R47" s="39"/>
    </row>
    <row r="48" spans="4:18" ht="27" thickBot="1">
      <c r="F48" s="11">
        <f>+F47*F43</f>
        <v>23000000</v>
      </c>
      <c r="G48" s="54" t="s">
        <v>36</v>
      </c>
      <c r="L48" s="7"/>
      <c r="M48" s="39"/>
      <c r="N48" s="65">
        <f t="shared" si="1"/>
        <v>1.3</v>
      </c>
      <c r="O48" s="39">
        <v>2.26690350787606E-3</v>
      </c>
      <c r="P48">
        <f t="shared" si="0"/>
        <v>0.73863636363636354</v>
      </c>
      <c r="Q48" s="56"/>
      <c r="R48" s="39"/>
    </row>
    <row r="49" spans="4:18" ht="26.25">
      <c r="D49" s="37" t="s">
        <v>3</v>
      </c>
      <c r="G49" s="51"/>
      <c r="L49" s="7"/>
      <c r="M49" s="39"/>
      <c r="N49" s="65">
        <f t="shared" si="1"/>
        <v>1.4000000000000001</v>
      </c>
      <c r="O49" s="39">
        <v>1.8660679982297666E-2</v>
      </c>
      <c r="P49">
        <f t="shared" si="0"/>
        <v>0.79545454545454541</v>
      </c>
      <c r="Q49" s="56"/>
      <c r="R49" s="39"/>
    </row>
    <row r="50" spans="4:18" ht="26.25">
      <c r="D50" s="31" t="s">
        <v>24</v>
      </c>
      <c r="F50" s="13">
        <f>+F48*F22</f>
        <v>63250000</v>
      </c>
      <c r="G50" s="54" t="s">
        <v>36</v>
      </c>
      <c r="M50" s="39"/>
      <c r="N50" s="65">
        <f t="shared" si="1"/>
        <v>1.5000000000000002</v>
      </c>
      <c r="O50" s="39">
        <v>3.5054456456719361E-2</v>
      </c>
      <c r="P50">
        <f t="shared" si="0"/>
        <v>0.85227272727272729</v>
      </c>
      <c r="Q50" s="56"/>
      <c r="R50" s="39"/>
    </row>
    <row r="51" spans="4:18" ht="21">
      <c r="D51" s="36">
        <v>0.3</v>
      </c>
      <c r="G51" s="51"/>
      <c r="M51" s="39"/>
      <c r="N51" s="65">
        <f t="shared" si="1"/>
        <v>1.6000000000000003</v>
      </c>
      <c r="O51" s="39">
        <v>5.1448232931141022E-2</v>
      </c>
      <c r="P51">
        <f t="shared" si="0"/>
        <v>0.90909090909090917</v>
      </c>
      <c r="Q51" s="56"/>
      <c r="R51" s="39"/>
    </row>
    <row r="52" spans="4:18" ht="24">
      <c r="D52" s="32">
        <f>+D51*F43</f>
        <v>600000</v>
      </c>
      <c r="F52" s="14">
        <f>+F50/11.5</f>
        <v>5500000</v>
      </c>
      <c r="G52" s="54" t="s">
        <v>36</v>
      </c>
      <c r="M52" s="39"/>
      <c r="N52" s="65">
        <f t="shared" si="1"/>
        <v>1.7000000000000004</v>
      </c>
      <c r="O52" s="39">
        <v>6.7842009405562648E-2</v>
      </c>
      <c r="P52">
        <f t="shared" si="0"/>
        <v>0.96590909090909105</v>
      </c>
      <c r="Q52" s="56"/>
      <c r="R52" s="39"/>
    </row>
    <row r="53" spans="4:18" ht="21">
      <c r="D53" s="33">
        <v>40000</v>
      </c>
      <c r="G53" s="51"/>
      <c r="M53" s="39"/>
      <c r="N53" s="65">
        <f t="shared" si="1"/>
        <v>1.8000000000000005</v>
      </c>
      <c r="O53" s="39">
        <v>8.4235785879984329E-2</v>
      </c>
      <c r="P53">
        <f t="shared" si="0"/>
        <v>1.0227272727272729</v>
      </c>
      <c r="Q53" s="56"/>
      <c r="R53" s="39"/>
    </row>
    <row r="54" spans="4:18" ht="24.75" thickBot="1">
      <c r="D54" s="35">
        <f>+(1-D53/D52)</f>
        <v>0.93333333333333335</v>
      </c>
      <c r="F54" s="16">
        <v>10000000</v>
      </c>
      <c r="G54" s="55" t="s">
        <v>37</v>
      </c>
      <c r="H54" t="s">
        <v>42</v>
      </c>
      <c r="M54" s="39"/>
      <c r="N54" s="65">
        <f t="shared" si="1"/>
        <v>1.9000000000000006</v>
      </c>
      <c r="O54" s="39">
        <v>0.100629562354406</v>
      </c>
      <c r="P54">
        <f t="shared" si="0"/>
        <v>1.0795454545454548</v>
      </c>
      <c r="Q54" s="56"/>
      <c r="R54" s="39"/>
    </row>
    <row r="55" spans="4:18" ht="21">
      <c r="G55" s="51"/>
      <c r="M55" s="39"/>
      <c r="N55" s="65">
        <f t="shared" si="1"/>
        <v>2.0000000000000004</v>
      </c>
      <c r="O55" s="39">
        <v>0.11702333882882759</v>
      </c>
      <c r="P55">
        <f t="shared" si="0"/>
        <v>1.1363636363636365</v>
      </c>
      <c r="Q55" s="56"/>
      <c r="R55" s="39"/>
    </row>
    <row r="56" spans="4:18" ht="24">
      <c r="F56" s="17">
        <v>8</v>
      </c>
      <c r="G56" s="55" t="s">
        <v>37</v>
      </c>
      <c r="H56" t="s">
        <v>43</v>
      </c>
      <c r="M56" s="39"/>
      <c r="N56" s="65"/>
      <c r="O56" s="39"/>
      <c r="Q56" s="56"/>
      <c r="R56" s="39"/>
    </row>
    <row r="57" spans="4:18" ht="21">
      <c r="G57" s="51"/>
      <c r="M57" s="39"/>
      <c r="N57" s="65"/>
      <c r="O57" s="39"/>
      <c r="Q57" s="56"/>
      <c r="R57" s="39"/>
    </row>
    <row r="58" spans="4:18" ht="24">
      <c r="F58" s="18">
        <v>25000</v>
      </c>
      <c r="G58" s="55" t="s">
        <v>37</v>
      </c>
      <c r="H58" t="s">
        <v>44</v>
      </c>
      <c r="N58" s="65"/>
      <c r="O58" s="39"/>
      <c r="Q58" s="56"/>
      <c r="R58" s="39"/>
    </row>
    <row r="59" spans="4:18" ht="21">
      <c r="G59" s="51"/>
      <c r="N59" s="65"/>
      <c r="O59" s="39"/>
      <c r="Q59" s="56"/>
      <c r="R59" s="39"/>
    </row>
    <row r="60" spans="4:18" ht="24">
      <c r="F60" s="19" t="s">
        <v>23</v>
      </c>
      <c r="G60" s="51"/>
      <c r="N60" s="65"/>
      <c r="O60" s="39"/>
      <c r="Q60" s="56"/>
      <c r="R60" s="39"/>
    </row>
    <row r="61" spans="4:18" ht="24">
      <c r="F61" s="20">
        <v>50</v>
      </c>
      <c r="G61" s="55" t="s">
        <v>37</v>
      </c>
      <c r="H61" t="s">
        <v>45</v>
      </c>
      <c r="N61" s="65"/>
      <c r="O61" s="39"/>
      <c r="Q61" s="56"/>
      <c r="R61" s="39"/>
    </row>
    <row r="62" spans="4:18" ht="24">
      <c r="F62" s="21">
        <v>2200</v>
      </c>
      <c r="G62" s="55" t="s">
        <v>37</v>
      </c>
      <c r="H62" t="s">
        <v>48</v>
      </c>
      <c r="N62" s="65"/>
      <c r="O62" s="39"/>
      <c r="Q62" s="56"/>
      <c r="R62" s="39"/>
    </row>
    <row r="63" spans="4:18" ht="24">
      <c r="F63" s="22">
        <v>0.67</v>
      </c>
      <c r="G63" s="51" t="s">
        <v>35</v>
      </c>
      <c r="H63" t="s">
        <v>46</v>
      </c>
    </row>
    <row r="64" spans="4:18" ht="24">
      <c r="F64" s="23">
        <f>+F47</f>
        <v>11.5</v>
      </c>
      <c r="G64" s="55" t="s">
        <v>37</v>
      </c>
      <c r="H64" t="s">
        <v>41</v>
      </c>
    </row>
    <row r="65" spans="6:8" ht="24">
      <c r="F65" s="24">
        <v>10</v>
      </c>
      <c r="G65" s="55" t="s">
        <v>37</v>
      </c>
      <c r="H65" t="s">
        <v>49</v>
      </c>
    </row>
    <row r="66" spans="6:8" ht="24">
      <c r="F66" s="25">
        <v>5</v>
      </c>
      <c r="G66" s="55" t="s">
        <v>37</v>
      </c>
      <c r="H66" t="s">
        <v>47</v>
      </c>
    </row>
    <row r="68" spans="6:8" ht="21">
      <c r="F68" s="26"/>
    </row>
  </sheetData>
  <mergeCells count="26">
    <mergeCell ref="L32:L33"/>
    <mergeCell ref="N19:N20"/>
    <mergeCell ref="N27:N28"/>
    <mergeCell ref="J12:J13"/>
    <mergeCell ref="P23:P24"/>
    <mergeCell ref="J21:J22"/>
    <mergeCell ref="D6:D7"/>
    <mergeCell ref="H16:H17"/>
    <mergeCell ref="L16:L17"/>
    <mergeCell ref="L23:L24"/>
    <mergeCell ref="F9:F10"/>
    <mergeCell ref="F15:F16"/>
    <mergeCell ref="H9:H10"/>
    <mergeCell ref="F22:F23"/>
    <mergeCell ref="H21:H22"/>
    <mergeCell ref="H26:H27"/>
    <mergeCell ref="H32:H33"/>
    <mergeCell ref="J26:J27"/>
    <mergeCell ref="J32:J33"/>
    <mergeCell ref="F27:F28"/>
    <mergeCell ref="D12:D13"/>
    <mergeCell ref="D22:D23"/>
    <mergeCell ref="D27:D28"/>
    <mergeCell ref="D32:D33"/>
    <mergeCell ref="F30:F31"/>
    <mergeCell ref="F32:F33"/>
  </mergeCells>
  <conditionalFormatting sqref="F30">
    <cfRule type="cellIs" dxfId="3" priority="1" operator="equal">
      <formula>"Prejuízo"</formula>
    </cfRule>
    <cfRule type="cellIs" dxfId="2" priority="2" operator="equal">
      <formula>"Lucro"</formula>
    </cfRule>
  </conditionalFormatting>
  <conditionalFormatting sqref="F32">
    <cfRule type="cellIs" dxfId="1" priority="3" operator="lessThanOrEqual">
      <formula>0</formula>
    </cfRule>
    <cfRule type="cellIs" dxfId="0" priority="4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3BA88-816E-4101-ADBD-18B5A5B41ABF}">
  <dimension ref="F6:I69"/>
  <sheetViews>
    <sheetView workbookViewId="0">
      <selection activeCell="J34" sqref="J34"/>
    </sheetView>
  </sheetViews>
  <sheetFormatPr defaultRowHeight="21.75" customHeight="1"/>
  <cols>
    <col min="6" max="6" width="8.7109375" bestFit="1" customWidth="1"/>
    <col min="7" max="7" width="29.140625" bestFit="1" customWidth="1"/>
    <col min="8" max="8" width="17.5703125" bestFit="1" customWidth="1"/>
    <col min="9" max="9" width="30.85546875" bestFit="1" customWidth="1"/>
  </cols>
  <sheetData>
    <row r="6" spans="6:9" ht="21.75" customHeight="1" thickBot="1"/>
    <row r="7" spans="6:9" ht="21.75" customHeight="1" thickBot="1">
      <c r="F7" s="42" t="s">
        <v>53</v>
      </c>
      <c r="G7" s="42" t="s">
        <v>54</v>
      </c>
      <c r="H7" s="42" t="s">
        <v>55</v>
      </c>
      <c r="I7" s="42" t="s">
        <v>56</v>
      </c>
    </row>
    <row r="8" spans="6:9" ht="21.75" customHeight="1" thickBot="1">
      <c r="F8" s="42" t="s">
        <v>57</v>
      </c>
      <c r="G8" s="42" t="s">
        <v>58</v>
      </c>
      <c r="H8" s="58">
        <v>0.438</v>
      </c>
      <c r="I8" s="42" t="s">
        <v>59</v>
      </c>
    </row>
    <row r="9" spans="6:9" ht="21.75" customHeight="1" thickBot="1">
      <c r="F9" s="43" t="s">
        <v>60</v>
      </c>
      <c r="G9" s="43" t="s">
        <v>61</v>
      </c>
      <c r="H9" s="59">
        <v>31680000</v>
      </c>
      <c r="I9" s="43" t="s">
        <v>62</v>
      </c>
    </row>
    <row r="10" spans="6:9" ht="21.75" customHeight="1" thickBot="1">
      <c r="F10" s="43" t="s">
        <v>63</v>
      </c>
      <c r="G10" s="43" t="s">
        <v>64</v>
      </c>
      <c r="H10" s="43">
        <v>0.25</v>
      </c>
      <c r="I10" s="43" t="s">
        <v>65</v>
      </c>
    </row>
    <row r="11" spans="6:9" ht="21.75" customHeight="1" thickBot="1">
      <c r="F11" s="43" t="s">
        <v>66</v>
      </c>
      <c r="G11" s="43" t="s">
        <v>67</v>
      </c>
      <c r="H11" s="59">
        <v>14950000</v>
      </c>
      <c r="I11" s="43" t="s">
        <v>68</v>
      </c>
    </row>
    <row r="12" spans="6:9" ht="21.75" customHeight="1" thickBot="1">
      <c r="F12" s="43" t="s">
        <v>69</v>
      </c>
      <c r="G12" s="43" t="s">
        <v>70</v>
      </c>
      <c r="H12" s="59">
        <v>3565578</v>
      </c>
      <c r="I12" s="43" t="s">
        <v>71</v>
      </c>
    </row>
    <row r="13" spans="6:9" ht="21.75" customHeight="1" thickBot="1">
      <c r="F13" s="42" t="s">
        <v>72</v>
      </c>
      <c r="G13" s="42" t="s">
        <v>73</v>
      </c>
      <c r="H13" s="59">
        <f>+H9*H8</f>
        <v>13875840</v>
      </c>
      <c r="I13" s="43" t="s">
        <v>74</v>
      </c>
    </row>
    <row r="14" spans="6:9" ht="21.75" customHeight="1" thickBot="1">
      <c r="F14" s="42" t="s">
        <v>75</v>
      </c>
      <c r="G14" s="42" t="s">
        <v>76</v>
      </c>
      <c r="H14" s="59">
        <f>+H13*H10</f>
        <v>3468960</v>
      </c>
      <c r="I14" s="43" t="s">
        <v>77</v>
      </c>
    </row>
    <row r="15" spans="6:9" ht="21.75" customHeight="1" thickBot="1">
      <c r="F15" s="42" t="s">
        <v>78</v>
      </c>
      <c r="G15" s="42" t="s">
        <v>79</v>
      </c>
      <c r="H15" s="59">
        <f>+H14-H12</f>
        <v>-96618</v>
      </c>
      <c r="I15" s="43" t="s">
        <v>80</v>
      </c>
    </row>
    <row r="16" spans="6:9" ht="21.75" customHeight="1" thickBot="1">
      <c r="F16" s="42" t="s">
        <v>81</v>
      </c>
      <c r="G16" s="42" t="s">
        <v>82</v>
      </c>
      <c r="H16" s="60">
        <f>+H15/H11*100</f>
        <v>-0.64627424749163875</v>
      </c>
      <c r="I16" s="42" t="s">
        <v>83</v>
      </c>
    </row>
    <row r="18" spans="7:9" ht="21.75" customHeight="1">
      <c r="G18" s="61" t="s">
        <v>84</v>
      </c>
    </row>
    <row r="20" spans="7:9" ht="21.75" customHeight="1">
      <c r="G20" t="s">
        <v>85</v>
      </c>
    </row>
    <row r="21" spans="7:9" ht="21.75" customHeight="1">
      <c r="G21" s="62"/>
    </row>
    <row r="22" spans="7:9" ht="21.75" customHeight="1">
      <c r="G22" s="62" t="s">
        <v>86</v>
      </c>
    </row>
    <row r="23" spans="7:9" ht="21.75" customHeight="1">
      <c r="G23" s="62" t="s">
        <v>87</v>
      </c>
    </row>
    <row r="24" spans="7:9" ht="21.75" customHeight="1">
      <c r="G24" s="62" t="s">
        <v>88</v>
      </c>
    </row>
    <row r="25" spans="7:9" ht="21.75" customHeight="1">
      <c r="G25" s="62" t="s">
        <v>89</v>
      </c>
    </row>
    <row r="26" spans="7:9" ht="21.75" customHeight="1">
      <c r="G26" s="62" t="s">
        <v>90</v>
      </c>
    </row>
    <row r="29" spans="7:9" ht="21.75" customHeight="1">
      <c r="G29" s="64" t="s">
        <v>124</v>
      </c>
      <c r="H29" s="64"/>
      <c r="I29" s="63"/>
    </row>
    <row r="31" spans="7:9" ht="21.75" customHeight="1">
      <c r="G31" t="s">
        <v>91</v>
      </c>
    </row>
    <row r="33" spans="7:7" ht="21.75" customHeight="1">
      <c r="G33" t="s">
        <v>92</v>
      </c>
    </row>
    <row r="34" spans="7:7" ht="21.75" customHeight="1">
      <c r="G34" t="s">
        <v>93</v>
      </c>
    </row>
    <row r="35" spans="7:7" ht="21.75" customHeight="1">
      <c r="G35" t="s">
        <v>94</v>
      </c>
    </row>
    <row r="36" spans="7:7" ht="21.75" customHeight="1">
      <c r="G36" t="s">
        <v>95</v>
      </c>
    </row>
    <row r="37" spans="7:7" ht="21.75" customHeight="1">
      <c r="G37" t="s">
        <v>96</v>
      </c>
    </row>
    <row r="38" spans="7:7" ht="21.75" customHeight="1">
      <c r="G38" t="s">
        <v>97</v>
      </c>
    </row>
    <row r="39" spans="7:7" ht="21.75" customHeight="1">
      <c r="G39" t="s">
        <v>98</v>
      </c>
    </row>
    <row r="40" spans="7:7" ht="21.75" customHeight="1">
      <c r="G40" t="s">
        <v>99</v>
      </c>
    </row>
    <row r="41" spans="7:7" ht="21.75" customHeight="1">
      <c r="G41" t="s">
        <v>100</v>
      </c>
    </row>
    <row r="42" spans="7:7" ht="21.75" customHeight="1">
      <c r="G42" t="s">
        <v>101</v>
      </c>
    </row>
    <row r="43" spans="7:7" ht="21.75" customHeight="1">
      <c r="G43" t="s">
        <v>102</v>
      </c>
    </row>
    <row r="44" spans="7:7" ht="21.75" customHeight="1">
      <c r="G44" t="s">
        <v>103</v>
      </c>
    </row>
    <row r="45" spans="7:7" ht="21.75" customHeight="1">
      <c r="G45" t="s">
        <v>100</v>
      </c>
    </row>
    <row r="46" spans="7:7" ht="21.75" customHeight="1">
      <c r="G46" t="s">
        <v>104</v>
      </c>
    </row>
    <row r="47" spans="7:7" ht="21.75" customHeight="1">
      <c r="G47" t="s">
        <v>105</v>
      </c>
    </row>
    <row r="48" spans="7:7" ht="21.75" customHeight="1">
      <c r="G48" t="s">
        <v>106</v>
      </c>
    </row>
    <row r="49" spans="7:7" ht="21.75" customHeight="1">
      <c r="G49" t="s">
        <v>100</v>
      </c>
    </row>
    <row r="50" spans="7:7" ht="21.75" customHeight="1">
      <c r="G50" t="s">
        <v>107</v>
      </c>
    </row>
    <row r="51" spans="7:7" ht="21.75" customHeight="1">
      <c r="G51" t="s">
        <v>108</v>
      </c>
    </row>
    <row r="52" spans="7:7" ht="21.75" customHeight="1">
      <c r="G52" t="s">
        <v>109</v>
      </c>
    </row>
    <row r="53" spans="7:7" ht="21.75" customHeight="1">
      <c r="G53" t="s">
        <v>100</v>
      </c>
    </row>
    <row r="54" spans="7:7" ht="21.75" customHeight="1">
      <c r="G54" t="s">
        <v>110</v>
      </c>
    </row>
    <row r="55" spans="7:7" ht="21.75" customHeight="1">
      <c r="G55" t="s">
        <v>111</v>
      </c>
    </row>
    <row r="56" spans="7:7" ht="21.75" customHeight="1">
      <c r="G56" t="s">
        <v>112</v>
      </c>
    </row>
    <row r="57" spans="7:7" ht="21.75" customHeight="1">
      <c r="G57" t="s">
        <v>113</v>
      </c>
    </row>
    <row r="58" spans="7:7" ht="21.75" customHeight="1">
      <c r="G58" t="s">
        <v>114</v>
      </c>
    </row>
    <row r="59" spans="7:7" ht="21.75" customHeight="1">
      <c r="G59" t="s">
        <v>115</v>
      </c>
    </row>
    <row r="60" spans="7:7" ht="21.75" customHeight="1">
      <c r="G60" t="s">
        <v>116</v>
      </c>
    </row>
    <row r="62" spans="7:7" ht="21.75" customHeight="1">
      <c r="G62" t="s">
        <v>117</v>
      </c>
    </row>
    <row r="63" spans="7:7" ht="21.75" customHeight="1">
      <c r="G63" t="s">
        <v>118</v>
      </c>
    </row>
    <row r="64" spans="7:7" ht="21.75" customHeight="1">
      <c r="G64" t="s">
        <v>119</v>
      </c>
    </row>
    <row r="66" spans="7:7" ht="21.75" customHeight="1">
      <c r="G66" t="s">
        <v>120</v>
      </c>
    </row>
    <row r="67" spans="7:7" ht="21.75" customHeight="1">
      <c r="G67" t="s">
        <v>121</v>
      </c>
    </row>
    <row r="68" spans="7:7" ht="21.75" customHeight="1">
      <c r="G68" t="s">
        <v>122</v>
      </c>
    </row>
    <row r="69" spans="7:7" ht="21.75" customHeight="1">
      <c r="G69" t="s">
        <v>123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60824-3546-41FB-B8E7-FA352AAB3C83}">
  <dimension ref="D2:E11"/>
  <sheetViews>
    <sheetView topLeftCell="C16" workbookViewId="0">
      <selection activeCell="D46" sqref="D46"/>
    </sheetView>
  </sheetViews>
  <sheetFormatPr defaultColWidth="27.7109375" defaultRowHeight="18.75" customHeight="1"/>
  <cols>
    <col min="5" max="5" width="53.42578125" customWidth="1"/>
  </cols>
  <sheetData>
    <row r="2" spans="4:5" ht="18.75" customHeight="1" thickBot="1"/>
    <row r="3" spans="4:5" ht="18.75" customHeight="1" thickBot="1">
      <c r="D3" s="42" t="s">
        <v>25</v>
      </c>
      <c r="E3" s="42" t="s">
        <v>26</v>
      </c>
    </row>
    <row r="4" spans="4:5" ht="18.75" customHeight="1" thickBot="1">
      <c r="D4" s="42" t="s">
        <v>27</v>
      </c>
      <c r="E4" s="45">
        <v>8712000</v>
      </c>
    </row>
    <row r="5" spans="4:5" ht="18.75" customHeight="1" thickBot="1">
      <c r="D5" s="43" t="s">
        <v>28</v>
      </c>
      <c r="E5" s="44">
        <v>-1500000</v>
      </c>
    </row>
    <row r="6" spans="4:5" ht="18.75" customHeight="1" thickBot="1">
      <c r="D6" s="43" t="s">
        <v>29</v>
      </c>
      <c r="E6" s="44">
        <v>-800000</v>
      </c>
    </row>
    <row r="7" spans="4:5" ht="18.75" customHeight="1" thickBot="1">
      <c r="D7" s="43" t="s">
        <v>30</v>
      </c>
      <c r="E7" s="44">
        <v>-200000</v>
      </c>
    </row>
    <row r="8" spans="4:5" ht="18.75" customHeight="1" thickBot="1">
      <c r="D8" s="42" t="s">
        <v>31</v>
      </c>
      <c r="E8" s="45">
        <f>SUM(E4:E7)</f>
        <v>6212000</v>
      </c>
    </row>
    <row r="9" spans="4:5" ht="18.75" customHeight="1" thickBot="1">
      <c r="D9" s="43" t="s">
        <v>32</v>
      </c>
      <c r="E9" s="44">
        <v>-2739778</v>
      </c>
    </row>
    <row r="10" spans="4:5" ht="18.75" customHeight="1" thickBot="1">
      <c r="D10" s="43" t="s">
        <v>33</v>
      </c>
      <c r="E10" s="44">
        <v>-3565578</v>
      </c>
    </row>
    <row r="11" spans="4:5" ht="18.75" customHeight="1" thickBot="1">
      <c r="D11" s="42" t="s">
        <v>34</v>
      </c>
      <c r="E11" s="45">
        <f>SUM(E8:E10)</f>
        <v>-93356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Prado</dc:creator>
  <cp:lastModifiedBy>Antonio Prado</cp:lastModifiedBy>
  <cp:lastPrinted>2026-02-01T01:58:09Z</cp:lastPrinted>
  <dcterms:created xsi:type="dcterms:W3CDTF">2025-02-24T03:36:58Z</dcterms:created>
  <dcterms:modified xsi:type="dcterms:W3CDTF">2026-02-02T16:44:50Z</dcterms:modified>
</cp:coreProperties>
</file>