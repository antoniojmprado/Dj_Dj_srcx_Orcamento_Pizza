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cuments\GitHub\DJ_OEE\appOEE\static\arquivos\"/>
    </mc:Choice>
  </mc:AlternateContent>
  <xr:revisionPtr revIDLastSave="0" documentId="13_ncr:1_{695A78F7-B251-4BE9-96EE-74D6795729D9}" xr6:coauthVersionLast="47" xr6:coauthVersionMax="47" xr10:uidLastSave="{00000000-0000-0000-0000-000000000000}"/>
  <bookViews>
    <workbookView xWindow="28680" yWindow="-120" windowWidth="29040" windowHeight="15840" xr2:uid="{7872187F-8ED1-42A1-B32C-D4E19196D9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K17" i="1"/>
  <c r="K9" i="1"/>
  <c r="K10" i="1"/>
  <c r="K11" i="1"/>
  <c r="K12" i="1"/>
  <c r="K13" i="1"/>
  <c r="K14" i="1"/>
  <c r="K15" i="1"/>
  <c r="K16" i="1"/>
  <c r="K18" i="1"/>
  <c r="K19" i="1"/>
  <c r="K20" i="1"/>
  <c r="K21" i="1"/>
  <c r="K22" i="1"/>
  <c r="K23" i="1"/>
  <c r="K24" i="1"/>
  <c r="K25" i="1"/>
  <c r="K26" i="1"/>
  <c r="K27" i="1"/>
  <c r="K28" i="1"/>
  <c r="K8" i="1"/>
  <c r="K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8" i="1"/>
  <c r="H7" i="1"/>
  <c r="F9" i="1"/>
  <c r="F11" i="1"/>
  <c r="D9" i="1"/>
  <c r="D10" i="1" s="1"/>
  <c r="F10" i="1" s="1"/>
  <c r="F12" i="1" s="1"/>
  <c r="D12" i="1" l="1"/>
  <c r="F14" i="1"/>
  <c r="F15" i="1" s="1"/>
  <c r="D14" i="1"/>
  <c r="J5" i="1" l="1"/>
</calcChain>
</file>

<file path=xl/sharedStrings.xml><?xml version="1.0" encoding="utf-8"?>
<sst xmlns="http://schemas.openxmlformats.org/spreadsheetml/2006/main" count="10" uniqueCount="6">
  <si>
    <t>Fat_real</t>
  </si>
  <si>
    <t>CV</t>
  </si>
  <si>
    <t>CF</t>
  </si>
  <si>
    <t>EBTID</t>
  </si>
  <si>
    <t>aum_oee</t>
  </si>
  <si>
    <t>aum_ebtid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</si>
</sst>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0.0%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5" fontId="2" fillId="2" borderId="0" xfId="1" applyNumberFormat="1" applyFont="1" applyFill="1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0345581802275049E-3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Planilha1!$J$6</c:f>
              <c:strCache>
                <c:ptCount val="1"/>
                <c:pt idx="0">
                  <c:v>-R$ 306.698,88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/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Planilha1!$I$7:$I$28</c:f>
              <c:numCache>
                <c:formatCode>General</c:formatCode>
                <c:ptCount val="22"/>
                <c:pt idx="0">
                  <c:v>0.35</c:v>
                </c:pt>
                <c:pt idx="1">
                  <c:v>0.37</c:v>
                </c:pt>
                <c:pt idx="2">
                  <c:v>0.39</c:v>
                </c:pt>
                <c:pt idx="3">
                  <c:v>0.41</c:v>
                </c:pt>
                <c:pt idx="4">
                  <c:v>0.43</c:v>
                </c:pt>
                <c:pt idx="5">
                  <c:v>0.45</c:v>
                </c:pt>
                <c:pt idx="6">
                  <c:v>0.47</c:v>
                </c:pt>
                <c:pt idx="7">
                  <c:v>0.49</c:v>
                </c:pt>
                <c:pt idx="8">
                  <c:v>0.51</c:v>
                </c:pt>
                <c:pt idx="9">
                  <c:v>0.53</c:v>
                </c:pt>
                <c:pt idx="10">
                  <c:v>0.55000000000000004</c:v>
                </c:pt>
                <c:pt idx="11">
                  <c:v>0.56999999999999995</c:v>
                </c:pt>
                <c:pt idx="12">
                  <c:v>0.59</c:v>
                </c:pt>
                <c:pt idx="13">
                  <c:v>0.61</c:v>
                </c:pt>
                <c:pt idx="14">
                  <c:v>0.63</c:v>
                </c:pt>
                <c:pt idx="15">
                  <c:v>0.65</c:v>
                </c:pt>
                <c:pt idx="16">
                  <c:v>0.67</c:v>
                </c:pt>
                <c:pt idx="17">
                  <c:v>0.69</c:v>
                </c:pt>
                <c:pt idx="18">
                  <c:v>0.71</c:v>
                </c:pt>
                <c:pt idx="19">
                  <c:v>0.73</c:v>
                </c:pt>
                <c:pt idx="20">
                  <c:v>0.75</c:v>
                </c:pt>
                <c:pt idx="21">
                  <c:v>0.77</c:v>
                </c:pt>
              </c:numCache>
            </c:numRef>
          </c:xVal>
          <c:yVal>
            <c:numRef>
              <c:f>Planilha1!$J$7:$J$28</c:f>
              <c:numCache>
                <c:formatCode>"R$"\ #,##0.00</c:formatCode>
                <c:ptCount val="22"/>
                <c:pt idx="0">
                  <c:v>-278748.88</c:v>
                </c:pt>
                <c:pt idx="1">
                  <c:v>-250798.87999999989</c:v>
                </c:pt>
                <c:pt idx="2">
                  <c:v>-222848.87999999989</c:v>
                </c:pt>
                <c:pt idx="3">
                  <c:v>-194898.87999999989</c:v>
                </c:pt>
                <c:pt idx="4">
                  <c:v>-166948.87999999989</c:v>
                </c:pt>
                <c:pt idx="5">
                  <c:v>-138998.87999999989</c:v>
                </c:pt>
                <c:pt idx="6">
                  <c:v>-111048.87999999989</c:v>
                </c:pt>
                <c:pt idx="7">
                  <c:v>-83098.879999999888</c:v>
                </c:pt>
                <c:pt idx="8">
                  <c:v>-55148.879999999888</c:v>
                </c:pt>
                <c:pt idx="9">
                  <c:v>-27198.879999999888</c:v>
                </c:pt>
                <c:pt idx="10">
                  <c:v>751.12000000034459</c:v>
                </c:pt>
                <c:pt idx="11">
                  <c:v>28701.119999999879</c:v>
                </c:pt>
                <c:pt idx="12">
                  <c:v>56651.120000000112</c:v>
                </c:pt>
                <c:pt idx="13">
                  <c:v>84601.120000000112</c:v>
                </c:pt>
                <c:pt idx="14">
                  <c:v>112551.12000000011</c:v>
                </c:pt>
                <c:pt idx="15">
                  <c:v>140501.12000000011</c:v>
                </c:pt>
                <c:pt idx="16">
                  <c:v>168451.12000000011</c:v>
                </c:pt>
                <c:pt idx="17">
                  <c:v>196401.11999999988</c:v>
                </c:pt>
                <c:pt idx="18">
                  <c:v>224351.12000000011</c:v>
                </c:pt>
                <c:pt idx="19">
                  <c:v>252301.12000000011</c:v>
                </c:pt>
                <c:pt idx="20">
                  <c:v>280251.12000000011</c:v>
                </c:pt>
                <c:pt idx="21">
                  <c:v>308201.12000000011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4-4240-A08F-B254AF9D7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255120"/>
        <c:axId val="1896249360"/>
      </c:scatterChart>
      <c:valAx>
        <c:axId val="1896255120"/>
        <c:scaling>
          <c:orientation val="minMax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249360"/>
        <c:crosses val="autoZero"/>
        <c:crossBetween val="midCat"/>
      </c:valAx>
      <c:valAx>
        <c:axId val="189624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255120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198783</xdr:colOff>
      <xdr:row>17</xdr:row>
      <xdr:rowOff>44726</xdr:rowOff>
    </xdr:from>
    <xdr:to>
      <xdr:col>7</xdr:col>
      <xdr:colOff>41413</xdr:colOff>
      <xdr:row>31</xdr:row>
      <xdr:rowOff>120926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D1E180-746A-BECA-2508-953A58C56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2086-448B-489F-9B5F-A8C6407A783D}">
  <dimension ref="B4:K28"/>
  <sheetViews>
    <sheetView tabSelected="1" topLeftCell="A4" zoomScale="115" zoomScaleNormal="115" workbookViewId="0">
      <selection activeCell="F16" sqref="F16"/>
    </sheetView>
  </sheetViews>
  <sheetFormatPr defaultRowHeight="15" x14ac:dyDescent="0.25"/>
  <cols>
    <col min="2" max="2" width="15.42578125" bestFit="1" customWidth="1"/>
    <col min="4" max="4" width="15.42578125" style="1" bestFit="1" customWidth="1"/>
    <col min="5" max="5" width="15.5703125" customWidth="1"/>
    <col min="6" max="6" width="21.5703125" bestFit="1" customWidth="1"/>
    <col min="8" max="8" width="13.7109375" style="5" bestFit="1" customWidth="1"/>
    <col min="9" max="9" width="13.7109375" bestFit="1" customWidth="1"/>
    <col min="10" max="10" width="18.28515625" customWidth="1"/>
  </cols>
  <sheetData>
    <row r="4" spans="2:11" x14ac:dyDescent="0.25">
      <c r="E4" s="1">
        <v>139750</v>
      </c>
    </row>
    <row r="5" spans="2:11" x14ac:dyDescent="0.25">
      <c r="J5" s="1">
        <f>+F14</f>
        <v>-69123.879999999888</v>
      </c>
    </row>
    <row r="6" spans="2:11" x14ac:dyDescent="0.25">
      <c r="E6" s="3">
        <v>0.33</v>
      </c>
      <c r="F6" s="3">
        <v>0.5</v>
      </c>
      <c r="H6" s="5" t="s">
        <v>4</v>
      </c>
      <c r="I6">
        <v>0.33</v>
      </c>
      <c r="J6" s="1">
        <f t="dataTable" ref="J6:J28" dt2D="0" dtr="0" r1="F6"/>
        <v>-306698.87999999989</v>
      </c>
      <c r="K6" t="s">
        <v>5</v>
      </c>
    </row>
    <row r="7" spans="2:11" x14ac:dyDescent="0.25">
      <c r="H7" s="2">
        <f>+(I7-I6)/I6</f>
        <v>6.060606060606049E-2</v>
      </c>
      <c r="I7">
        <v>0.35</v>
      </c>
      <c r="J7" s="1">
        <v>-278748.88</v>
      </c>
      <c r="K7" s="5">
        <f>ABS((J7-J6)/J6*100)</f>
        <v>9.1131731553763409</v>
      </c>
    </row>
    <row r="8" spans="2:11" x14ac:dyDescent="0.25">
      <c r="D8" s="1">
        <v>2795000</v>
      </c>
      <c r="H8" s="2">
        <f>+(I8-I7)/I7</f>
        <v>5.7142857142857197E-2</v>
      </c>
      <c r="I8">
        <v>0.37</v>
      </c>
      <c r="J8" s="1">
        <v>-250798.87999999989</v>
      </c>
      <c r="K8" s="5">
        <f t="shared" ref="K8:K28" si="0">ABS((J8-J7)/J7*100)</f>
        <v>10.026946117236459</v>
      </c>
    </row>
    <row r="9" spans="2:11" x14ac:dyDescent="0.25">
      <c r="B9" s="1">
        <f>+D8-D9</f>
        <v>1872650</v>
      </c>
      <c r="C9" s="4" t="s">
        <v>0</v>
      </c>
      <c r="D9" s="1">
        <f>+E6*D8</f>
        <v>922350</v>
      </c>
      <c r="E9" s="4" t="s">
        <v>0</v>
      </c>
      <c r="F9" s="1">
        <f>$D$8*F6</f>
        <v>1397500</v>
      </c>
      <c r="H9" s="2">
        <f t="shared" ref="H9:H28" si="1">+(I9-I8)/I8</f>
        <v>5.4054054054054106E-2</v>
      </c>
      <c r="I9">
        <v>0.39</v>
      </c>
      <c r="J9" s="1">
        <v>-222848.87999999989</v>
      </c>
      <c r="K9" s="5">
        <f t="shared" si="0"/>
        <v>11.144387885623736</v>
      </c>
    </row>
    <row r="10" spans="2:11" x14ac:dyDescent="0.25">
      <c r="C10" s="4" t="s">
        <v>1</v>
      </c>
      <c r="D10" s="1">
        <f>+D9*0.5+$E$4</f>
        <v>600925</v>
      </c>
      <c r="E10" s="4" t="s">
        <v>1</v>
      </c>
      <c r="F10" s="1">
        <f>+(F6/$E$6)*($D$10-$E$4)+$E$4</f>
        <v>838500</v>
      </c>
      <c r="H10" s="2">
        <f t="shared" si="1"/>
        <v>5.1282051282051183E-2</v>
      </c>
      <c r="I10">
        <v>0.41</v>
      </c>
      <c r="J10" s="1">
        <v>-194898.87999999989</v>
      </c>
      <c r="K10" s="5">
        <f t="shared" si="0"/>
        <v>12.542131690318575</v>
      </c>
    </row>
    <row r="11" spans="2:11" x14ac:dyDescent="0.25">
      <c r="C11" s="4" t="s">
        <v>2</v>
      </c>
      <c r="D11" s="1">
        <v>628123.88</v>
      </c>
      <c r="E11" s="4" t="s">
        <v>2</v>
      </c>
      <c r="F11" s="1">
        <f>+D11</f>
        <v>628123.88</v>
      </c>
      <c r="H11" s="2">
        <f t="shared" si="1"/>
        <v>4.8780487804878092E-2</v>
      </c>
      <c r="I11">
        <v>0.43</v>
      </c>
      <c r="J11" s="1">
        <v>-166948.87999999989</v>
      </c>
      <c r="K11" s="5">
        <f t="shared" si="0"/>
        <v>14.340769941828304</v>
      </c>
    </row>
    <row r="12" spans="2:11" x14ac:dyDescent="0.25">
      <c r="C12" s="4" t="s">
        <v>3</v>
      </c>
      <c r="D12" s="1">
        <f>SUM(D10:D11)</f>
        <v>1229048.8799999999</v>
      </c>
      <c r="E12" s="4" t="s">
        <v>3</v>
      </c>
      <c r="F12" s="1">
        <f>SUM(F10:F11)</f>
        <v>1466623.88</v>
      </c>
      <c r="H12" s="2">
        <f t="shared" si="1"/>
        <v>4.6511627906976785E-2</v>
      </c>
      <c r="I12">
        <v>0.45</v>
      </c>
      <c r="J12" s="1">
        <v>-138998.87999999989</v>
      </c>
      <c r="K12" s="5">
        <f t="shared" si="0"/>
        <v>16.741651696016181</v>
      </c>
    </row>
    <row r="13" spans="2:11" x14ac:dyDescent="0.25">
      <c r="F13" s="1"/>
      <c r="H13" s="2">
        <f t="shared" si="1"/>
        <v>4.4444444444444363E-2</v>
      </c>
      <c r="I13">
        <v>0.47</v>
      </c>
      <c r="J13" s="1">
        <v>-111048.87999999989</v>
      </c>
      <c r="K13" s="5">
        <f t="shared" si="0"/>
        <v>20.108075690969613</v>
      </c>
    </row>
    <row r="14" spans="2:11" x14ac:dyDescent="0.25">
      <c r="D14" s="1">
        <f>+D9-D12</f>
        <v>-306698.87999999989</v>
      </c>
      <c r="F14" s="1">
        <f>+F9-F12</f>
        <v>-69123.879999999888</v>
      </c>
      <c r="H14" s="2">
        <f t="shared" si="1"/>
        <v>4.2553191489361743E-2</v>
      </c>
      <c r="I14">
        <v>0.49</v>
      </c>
      <c r="J14" s="1">
        <v>-83098.879999999888</v>
      </c>
      <c r="K14" s="5">
        <f t="shared" si="0"/>
        <v>25.169096707684062</v>
      </c>
    </row>
    <row r="15" spans="2:11" x14ac:dyDescent="0.25">
      <c r="F15" s="6">
        <f>(F14-$D$14)/$D$14</f>
        <v>-0.77461971820699216</v>
      </c>
      <c r="H15" s="2">
        <f t="shared" si="1"/>
        <v>4.0816326530612283E-2</v>
      </c>
      <c r="I15">
        <v>0.51</v>
      </c>
      <c r="J15" s="1">
        <v>-55148.879999999888</v>
      </c>
      <c r="K15" s="5">
        <f t="shared" si="0"/>
        <v>33.634629010643749</v>
      </c>
    </row>
    <row r="16" spans="2:11" x14ac:dyDescent="0.25">
      <c r="H16" s="2">
        <f t="shared" si="1"/>
        <v>3.9215686274509838E-2</v>
      </c>
      <c r="I16">
        <v>0.53</v>
      </c>
      <c r="J16" s="1">
        <v>-27198.879999999888</v>
      </c>
      <c r="K16" s="5">
        <f t="shared" si="0"/>
        <v>50.680992977554681</v>
      </c>
    </row>
    <row r="17" spans="8:11" x14ac:dyDescent="0.25">
      <c r="H17" s="2">
        <f t="shared" si="1"/>
        <v>3.7735849056603807E-2</v>
      </c>
      <c r="I17">
        <v>0.55000000000000004</v>
      </c>
      <c r="J17" s="1">
        <v>751.12000000034459</v>
      </c>
      <c r="K17" s="5">
        <f>ABS((J17-J16)/J16*100)</f>
        <v>102.76158430053131</v>
      </c>
    </row>
    <row r="18" spans="8:11" x14ac:dyDescent="0.25">
      <c r="H18" s="2">
        <f t="shared" si="1"/>
        <v>3.6363636363636188E-2</v>
      </c>
      <c r="I18">
        <v>0.56999999999999995</v>
      </c>
      <c r="J18" s="1">
        <v>28701.119999999879</v>
      </c>
      <c r="K18" s="5">
        <f t="shared" si="0"/>
        <v>3721.1098093495998</v>
      </c>
    </row>
    <row r="19" spans="8:11" x14ac:dyDescent="0.25">
      <c r="H19" s="2">
        <f t="shared" si="1"/>
        <v>3.5087719298245647E-2</v>
      </c>
      <c r="I19">
        <v>0.59</v>
      </c>
      <c r="J19" s="1">
        <v>56651.120000000112</v>
      </c>
      <c r="K19" s="5">
        <f t="shared" si="0"/>
        <v>97.382959271277045</v>
      </c>
    </row>
    <row r="20" spans="8:11" x14ac:dyDescent="0.25">
      <c r="H20" s="2">
        <f t="shared" si="1"/>
        <v>3.3898305084745797E-2</v>
      </c>
      <c r="I20">
        <v>0.61</v>
      </c>
      <c r="J20" s="1">
        <v>84601.120000000112</v>
      </c>
      <c r="K20" s="5">
        <f t="shared" si="0"/>
        <v>49.337065180705949</v>
      </c>
    </row>
    <row r="21" spans="8:11" x14ac:dyDescent="0.25">
      <c r="H21" s="2">
        <f t="shared" si="1"/>
        <v>3.2786885245901669E-2</v>
      </c>
      <c r="I21">
        <v>0.63</v>
      </c>
      <c r="J21" s="1">
        <v>112551.12000000011</v>
      </c>
      <c r="K21" s="5">
        <f t="shared" si="0"/>
        <v>33.037387684702004</v>
      </c>
    </row>
    <row r="22" spans="8:11" x14ac:dyDescent="0.25">
      <c r="H22" s="2">
        <f t="shared" si="1"/>
        <v>3.1746031746031772E-2</v>
      </c>
      <c r="I22">
        <v>0.65</v>
      </c>
      <c r="J22" s="1">
        <v>140501.12000000011</v>
      </c>
      <c r="K22" s="5">
        <f t="shared" si="0"/>
        <v>24.833160256423898</v>
      </c>
    </row>
    <row r="23" spans="8:11" x14ac:dyDescent="0.25">
      <c r="H23" s="2">
        <f t="shared" si="1"/>
        <v>3.0769230769230795E-2</v>
      </c>
      <c r="I23">
        <v>0.67</v>
      </c>
      <c r="J23" s="1">
        <v>168451.12000000011</v>
      </c>
      <c r="K23" s="5">
        <f t="shared" si="0"/>
        <v>19.893079855875868</v>
      </c>
    </row>
    <row r="24" spans="8:11" x14ac:dyDescent="0.25">
      <c r="H24" s="2">
        <f t="shared" si="1"/>
        <v>2.9850746268656577E-2</v>
      </c>
      <c r="I24">
        <v>0.69</v>
      </c>
      <c r="J24" s="1">
        <v>196401.11999999988</v>
      </c>
      <c r="K24" s="5">
        <f t="shared" si="0"/>
        <v>16.592350350653501</v>
      </c>
    </row>
    <row r="25" spans="8:11" x14ac:dyDescent="0.25">
      <c r="H25" s="2">
        <f t="shared" si="1"/>
        <v>2.898550724637684E-2</v>
      </c>
      <c r="I25">
        <v>0.71</v>
      </c>
      <c r="J25" s="1">
        <v>224351.12000000011</v>
      </c>
      <c r="K25" s="5">
        <f t="shared" si="0"/>
        <v>14.231079741296918</v>
      </c>
    </row>
    <row r="26" spans="8:11" x14ac:dyDescent="0.25">
      <c r="H26" s="2">
        <f t="shared" si="1"/>
        <v>2.8169014084507067E-2</v>
      </c>
      <c r="I26">
        <v>0.73</v>
      </c>
      <c r="J26" s="1">
        <v>252301.12000000011</v>
      </c>
      <c r="K26" s="5">
        <f t="shared" si="0"/>
        <v>12.458150420644206</v>
      </c>
    </row>
    <row r="27" spans="8:11" x14ac:dyDescent="0.25">
      <c r="H27" s="2">
        <f t="shared" si="1"/>
        <v>2.7397260273972629E-2</v>
      </c>
      <c r="I27">
        <v>0.75</v>
      </c>
      <c r="J27" s="1">
        <v>280251.12000000011</v>
      </c>
      <c r="K27" s="5">
        <f t="shared" si="0"/>
        <v>11.07803247167511</v>
      </c>
    </row>
    <row r="28" spans="8:11" x14ac:dyDescent="0.25">
      <c r="H28" s="2">
        <f t="shared" si="1"/>
        <v>2.6666666666666689E-2</v>
      </c>
      <c r="I28">
        <v>0.77</v>
      </c>
      <c r="J28" s="1">
        <v>308201.12000000011</v>
      </c>
      <c r="K28" s="5">
        <f t="shared" si="0"/>
        <v>9.9731983229897487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dcterms:created xsi:type="dcterms:W3CDTF">2026-02-21T12:36:27Z</dcterms:created>
  <dcterms:modified xsi:type="dcterms:W3CDTF">2026-02-21T21:11:44Z</dcterms:modified>
</cp:coreProperties>
</file>