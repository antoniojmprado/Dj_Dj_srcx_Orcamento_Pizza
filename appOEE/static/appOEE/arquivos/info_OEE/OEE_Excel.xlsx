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ton\Documents\GitHub\DJ_OEE\appOEE\arquivos\"/>
    </mc:Choice>
  </mc:AlternateContent>
  <xr:revisionPtr revIDLastSave="0" documentId="8_{85917081-6F5F-4017-B438-42BC0F4429E9}" xr6:coauthVersionLast="47" xr6:coauthVersionMax="47" xr10:uidLastSave="{00000000-0000-0000-0000-000000000000}"/>
  <bookViews>
    <workbookView xWindow="28680" yWindow="-120" windowWidth="29040" windowHeight="15840" activeTab="1" xr2:uid="{EE65EE1C-D116-4FE5-9DD8-FC132CE8DBE5}"/>
  </bookViews>
  <sheets>
    <sheet name="Planilha1" sheetId="1" r:id="rId1"/>
    <sheet name="Custos das maquinas com o gemi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2" i="1" l="1"/>
  <c r="N27" i="1" s="1"/>
  <c r="J21" i="1"/>
  <c r="H16" i="1"/>
  <c r="F9" i="1"/>
  <c r="H9" i="1" s="1"/>
  <c r="J12" i="1" s="1"/>
  <c r="L16" i="1" l="1"/>
  <c r="N19" i="1" s="1"/>
  <c r="P23" i="1" s="1"/>
  <c r="M41" i="1" s="1"/>
</calcChain>
</file>

<file path=xl/sharedStrings.xml><?xml version="1.0" encoding="utf-8"?>
<sst xmlns="http://schemas.openxmlformats.org/spreadsheetml/2006/main" count="55" uniqueCount="52">
  <si>
    <t>Planejado (h)</t>
  </si>
  <si>
    <t>Max. Prod/h</t>
  </si>
  <si>
    <t>Disponibilidade</t>
  </si>
  <si>
    <t>Performance</t>
  </si>
  <si>
    <t>Qualidade</t>
  </si>
  <si>
    <t>Prod_Teórica/ano</t>
  </si>
  <si>
    <t>OEE</t>
  </si>
  <si>
    <t>Prod_Real/ano</t>
  </si>
  <si>
    <t>Preço Unit. R$/un.</t>
  </si>
  <si>
    <t>Custo Var. R$/un.</t>
  </si>
  <si>
    <t>Contrib/un. R$/un.</t>
  </si>
  <si>
    <t>Contr.Margem/ano</t>
  </si>
  <si>
    <t>Custos Fixos/ano</t>
  </si>
  <si>
    <t>Manut. R$/ano</t>
  </si>
  <si>
    <t>Depreciação/ano</t>
  </si>
  <si>
    <t>Outros fixos R$/ano</t>
  </si>
  <si>
    <t>Lucro</t>
  </si>
  <si>
    <t>Ativos Fixos</t>
  </si>
  <si>
    <t>Capital de Giro</t>
  </si>
  <si>
    <t>Vendas</t>
  </si>
  <si>
    <t>Lucro/Vendas</t>
  </si>
  <si>
    <t>Lucro/Ativos</t>
  </si>
  <si>
    <t>Capital Empregado</t>
  </si>
  <si>
    <t>ROCE</t>
  </si>
  <si>
    <t>x</t>
  </si>
  <si>
    <t>Máquina</t>
  </si>
  <si>
    <t>Valor Est.</t>
  </si>
  <si>
    <t>% do Custo Total</t>
  </si>
  <si>
    <t>Custo por Minuto (R$)</t>
  </si>
  <si>
    <t>Wonder 1</t>
  </si>
  <si>
    <t>R$ 3,5M</t>
  </si>
  <si>
    <t>~38,5%</t>
  </si>
  <si>
    <t>**R$ 7,57**</t>
  </si>
  <si>
    <t>Wonder 2</t>
  </si>
  <si>
    <t>Century</t>
  </si>
  <si>
    <t>R$ 1,0M</t>
  </si>
  <si>
    <t>~11,0%</t>
  </si>
  <si>
    <t>**R$ 2,16**</t>
  </si>
  <si>
    <t>Flexo Xitian</t>
  </si>
  <si>
    <t>R$ 2,5M*</t>
  </si>
  <si>
    <t>~10,0%</t>
  </si>
  <si>
    <t>**R$ 1,37**</t>
  </si>
  <si>
    <t>Boca de Sapo</t>
  </si>
  <si>
    <t>R$ 0,3M</t>
  </si>
  <si>
    <t>~1,5%</t>
  </si>
  <si>
    <t>**R$ 0,16**</t>
  </si>
  <si>
    <t>Seladora</t>
  </si>
  <si>
    <t>R$ 0,2M</t>
  </si>
  <si>
    <t>~0,5%</t>
  </si>
  <si>
    <t>**R$ 0,11**</t>
  </si>
  <si>
    <t>TOTAL</t>
  </si>
  <si>
    <t>R$ 11M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</si>
</sst>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R$&quot;\ #,##0.00;[Red]\-&quot;R$&quot;\ #,##0.00"/>
    <numFmt numFmtId="164" formatCode="0.0%"/>
    <numFmt numFmtId="165" formatCode="&quot;R$ &quot;0.00&quot; /un&quot;"/>
    <numFmt numFmtId="166" formatCode="&quot;R$&quot;\ #,##0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 style="medium">
        <color rgb="FFFF0000"/>
      </right>
      <top/>
      <bottom style="medium">
        <color rgb="FFFF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0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3" fontId="2" fillId="0" borderId="0" xfId="0" applyNumberFormat="1" applyFont="1" applyBorder="1" applyAlignment="1">
      <alignment horizontal="center" vertical="center"/>
    </xf>
    <xf numFmtId="0" fontId="0" fillId="0" borderId="0" xfId="0" applyBorder="1"/>
    <xf numFmtId="164" fontId="0" fillId="0" borderId="0" xfId="0" applyNumberFormat="1"/>
    <xf numFmtId="10" fontId="0" fillId="0" borderId="0" xfId="0" applyNumberFormat="1"/>
    <xf numFmtId="164" fontId="2" fillId="5" borderId="1" xfId="1" applyNumberFormat="1" applyFont="1" applyFill="1" applyBorder="1" applyAlignment="1">
      <alignment horizontal="center" vertical="center"/>
    </xf>
    <xf numFmtId="164" fontId="2" fillId="5" borderId="2" xfId="1" applyNumberFormat="1" applyFont="1" applyFill="1" applyBorder="1" applyAlignment="1">
      <alignment horizontal="center" vertical="center"/>
    </xf>
    <xf numFmtId="166" fontId="2" fillId="4" borderId="1" xfId="1" applyNumberFormat="1" applyFont="1" applyFill="1" applyBorder="1" applyAlignment="1">
      <alignment horizontal="center" vertical="center"/>
    </xf>
    <xf numFmtId="166" fontId="2" fillId="4" borderId="2" xfId="1" applyNumberFormat="1" applyFont="1" applyFill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3" fontId="2" fillId="0" borderId="2" xfId="0" applyNumberFormat="1" applyFont="1" applyBorder="1" applyAlignment="1">
      <alignment horizontal="center" vertical="center"/>
    </xf>
    <xf numFmtId="165" fontId="2" fillId="4" borderId="1" xfId="1" applyNumberFormat="1" applyFont="1" applyFill="1" applyBorder="1" applyAlignment="1">
      <alignment horizontal="center" vertical="center"/>
    </xf>
    <xf numFmtId="165" fontId="2" fillId="4" borderId="2" xfId="1" applyNumberFormat="1" applyFont="1" applyFill="1" applyBorder="1" applyAlignment="1">
      <alignment horizontal="center" vertical="center"/>
    </xf>
    <xf numFmtId="164" fontId="2" fillId="4" borderId="1" xfId="1" applyNumberFormat="1" applyFont="1" applyFill="1" applyBorder="1" applyAlignment="1">
      <alignment horizontal="center" vertical="center"/>
    </xf>
    <xf numFmtId="164" fontId="2" fillId="4" borderId="2" xfId="1" applyNumberFormat="1" applyFont="1" applyFill="1" applyBorder="1" applyAlignment="1">
      <alignment horizontal="center" vertical="center"/>
    </xf>
    <xf numFmtId="2" fontId="2" fillId="4" borderId="1" xfId="1" applyNumberFormat="1" applyFont="1" applyFill="1" applyBorder="1" applyAlignment="1">
      <alignment horizontal="center" vertical="center"/>
    </xf>
    <xf numFmtId="2" fontId="2" fillId="4" borderId="2" xfId="1" applyNumberFormat="1" applyFont="1" applyFill="1" applyBorder="1" applyAlignment="1">
      <alignment horizontal="center" vertical="center"/>
    </xf>
    <xf numFmtId="164" fontId="3" fillId="3" borderId="1" xfId="0" applyNumberFormat="1" applyFont="1" applyFill="1" applyBorder="1" applyAlignment="1">
      <alignment horizontal="center" vertical="center"/>
    </xf>
    <xf numFmtId="164" fontId="3" fillId="3" borderId="2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64" fontId="2" fillId="2" borderId="1" xfId="1" applyNumberFormat="1" applyFont="1" applyFill="1" applyBorder="1" applyAlignment="1">
      <alignment horizontal="center" vertical="center"/>
    </xf>
    <xf numFmtId="164" fontId="2" fillId="2" borderId="2" xfId="1" applyNumberFormat="1" applyFont="1" applyFill="1" applyBorder="1" applyAlignment="1">
      <alignment horizontal="center" vertical="center"/>
    </xf>
    <xf numFmtId="0" fontId="5" fillId="0" borderId="3" xfId="0" applyFont="1" applyBorder="1" applyAlignment="1">
      <alignment horizontal="left" vertical="center" wrapText="1" indent="1" readingOrder="1"/>
    </xf>
    <xf numFmtId="0" fontId="4" fillId="0" borderId="3" xfId="0" applyFont="1" applyBorder="1" applyAlignment="1">
      <alignment horizontal="left" vertical="center" wrapText="1" indent="1" readingOrder="1"/>
    </xf>
    <xf numFmtId="9" fontId="5" fillId="0" borderId="3" xfId="0" applyNumberFormat="1" applyFont="1" applyBorder="1" applyAlignment="1">
      <alignment horizontal="left" vertical="center" wrapText="1" indent="1" readingOrder="1"/>
    </xf>
    <xf numFmtId="8" fontId="5" fillId="0" borderId="3" xfId="0" applyNumberFormat="1" applyFont="1" applyBorder="1" applyAlignment="1">
      <alignment horizontal="left" vertical="center" wrapText="1" indent="1" readingOrder="1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57150" cap="rnd">
              <a:solidFill>
                <a:schemeClr val="tx2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xVal>
            <c:numRef>
              <c:f>Planilha1!$L$42:$L$49</c:f>
              <c:numCache>
                <c:formatCode>0.00%</c:formatCode>
                <c:ptCount val="8"/>
                <c:pt idx="0">
                  <c:v>0.5</c:v>
                </c:pt>
                <c:pt idx="1">
                  <c:v>0.55000000000000004</c:v>
                </c:pt>
                <c:pt idx="2">
                  <c:v>0.6</c:v>
                </c:pt>
                <c:pt idx="3">
                  <c:v>0.65</c:v>
                </c:pt>
                <c:pt idx="4">
                  <c:v>0.7</c:v>
                </c:pt>
                <c:pt idx="5">
                  <c:v>0.75</c:v>
                </c:pt>
                <c:pt idx="6">
                  <c:v>0.8</c:v>
                </c:pt>
                <c:pt idx="7">
                  <c:v>0.85</c:v>
                </c:pt>
              </c:numCache>
            </c:numRef>
          </c:xVal>
          <c:yVal>
            <c:numRef>
              <c:f>Planilha1!$M$42:$M$49</c:f>
              <c:numCache>
                <c:formatCode>0.00%</c:formatCode>
                <c:ptCount val="8"/>
                <c:pt idx="0">
                  <c:v>1.6953140554204801E-3</c:v>
                </c:pt>
                <c:pt idx="1">
                  <c:v>3.472678897864874E-2</c:v>
                </c:pt>
                <c:pt idx="2">
                  <c:v>6.7758263901876906E-2</c:v>
                </c:pt>
                <c:pt idx="3">
                  <c:v>0.10078973882510513</c:v>
                </c:pt>
                <c:pt idx="4">
                  <c:v>0.13382121374833336</c:v>
                </c:pt>
                <c:pt idx="5">
                  <c:v>0.16685268867156156</c:v>
                </c:pt>
                <c:pt idx="6">
                  <c:v>0.19988416359478978</c:v>
                </c:pt>
                <c:pt idx="7">
                  <c:v>0.232915638518018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357-4CD0-8017-7F3D5E5E16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735216"/>
        <c:axId val="133745296"/>
      </c:scatterChart>
      <c:valAx>
        <c:axId val="133735216"/>
        <c:scaling>
          <c:orientation val="minMax"/>
          <c:max val="0.8"/>
          <c:min val="0.45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400" b="1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OEE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400" b="1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3745296"/>
        <c:crosses val="autoZero"/>
        <c:crossBetween val="midCat"/>
      </c:valAx>
      <c:valAx>
        <c:axId val="13374529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1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1"/>
                  <a:t>RETORNO FINANCEIRO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1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%" sourceLinked="0"/>
        <c:majorTickMark val="none"/>
        <c:minorTickMark val="none"/>
        <c:tickLblPos val="nextTo"/>
        <c:crossAx val="1337352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734787</xdr:colOff>
      <xdr:row>33</xdr:row>
      <xdr:rowOff>81644</xdr:rowOff>
    </xdr:from>
    <xdr:to>
      <xdr:col>32</xdr:col>
      <xdr:colOff>42184</xdr:colOff>
      <xdr:row>58</xdr:row>
      <xdr:rowOff>7484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6DA65CA-9813-BDD3-825E-4A53555736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55791</xdr:colOff>
      <xdr:row>33</xdr:row>
      <xdr:rowOff>46265</xdr:rowOff>
    </xdr:from>
    <xdr:to>
      <xdr:col>11</xdr:col>
      <xdr:colOff>299357</xdr:colOff>
      <xdr:row>36</xdr:row>
      <xdr:rowOff>176893</xdr:rowOff>
    </xdr:to>
    <xdr:sp macro="" textlink="">
      <xdr:nvSpPr>
        <xdr:cNvPr id="3" name="Texto Explicativo: Linha 2">
          <a:extLst>
            <a:ext uri="{FF2B5EF4-FFF2-40B4-BE49-F238E27FC236}">
              <a16:creationId xmlns:a16="http://schemas.microsoft.com/office/drawing/2014/main" id="{6CEE5F92-0F10-1513-1E06-2CC5BF77E073}"/>
            </a:ext>
          </a:extLst>
        </xdr:cNvPr>
        <xdr:cNvSpPr/>
      </xdr:nvSpPr>
      <xdr:spPr>
        <a:xfrm>
          <a:off x="10029827" y="7707086"/>
          <a:ext cx="1114423" cy="838200"/>
        </a:xfrm>
        <a:prstGeom prst="borderCallout1">
          <a:avLst>
            <a:gd name="adj1" fmla="val 51280"/>
            <a:gd name="adj2" fmla="val -590"/>
            <a:gd name="adj3" fmla="val -7110"/>
            <a:gd name="adj4" fmla="val -120455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kern="1200"/>
            <a:t>Contas</a:t>
          </a:r>
          <a:r>
            <a:rPr lang="pt-BR" sz="1100" kern="1200" baseline="0"/>
            <a:t> a receber</a:t>
          </a:r>
        </a:p>
        <a:p>
          <a:pPr algn="l"/>
          <a:r>
            <a:rPr lang="pt-BR" sz="1100" kern="1200" baseline="0"/>
            <a:t>Estoques</a:t>
          </a:r>
        </a:p>
        <a:p>
          <a:pPr algn="l"/>
          <a:r>
            <a:rPr lang="pt-BR" sz="1100" kern="1200" baseline="0"/>
            <a:t>Caixa</a:t>
          </a:r>
          <a:endParaRPr lang="pt-BR" sz="1100" kern="1200"/>
        </a:p>
      </xdr:txBody>
    </xdr:sp>
    <xdr:clientData/>
  </xdr:twoCellAnchor>
  <xdr:twoCellAnchor>
    <xdr:from>
      <xdr:col>5</xdr:col>
      <xdr:colOff>1450304</xdr:colOff>
      <xdr:row>15</xdr:row>
      <xdr:rowOff>217681</xdr:rowOff>
    </xdr:from>
    <xdr:to>
      <xdr:col>7</xdr:col>
      <xdr:colOff>7237</xdr:colOff>
      <xdr:row>27</xdr:row>
      <xdr:rowOff>14654</xdr:rowOff>
    </xdr:to>
    <xdr:grpSp>
      <xdr:nvGrpSpPr>
        <xdr:cNvPr id="32" name="Agrupar 31">
          <a:extLst>
            <a:ext uri="{FF2B5EF4-FFF2-40B4-BE49-F238E27FC236}">
              <a16:creationId xmlns:a16="http://schemas.microsoft.com/office/drawing/2014/main" id="{89F51E2F-9659-7AF4-DCAE-D93F26B6D349}"/>
            </a:ext>
          </a:extLst>
        </xdr:cNvPr>
        <xdr:cNvGrpSpPr/>
      </xdr:nvGrpSpPr>
      <xdr:grpSpPr>
        <a:xfrm>
          <a:off x="5586875" y="3388145"/>
          <a:ext cx="883755" cy="2736116"/>
          <a:chOff x="1066159" y="1848751"/>
          <a:chExt cx="873562" cy="2682442"/>
        </a:xfrm>
      </xdr:grpSpPr>
      <xdr:cxnSp macro="">
        <xdr:nvCxnSpPr>
          <xdr:cNvPr id="10" name="Conector de Seta Reta 9">
            <a:extLst>
              <a:ext uri="{FF2B5EF4-FFF2-40B4-BE49-F238E27FC236}">
                <a16:creationId xmlns:a16="http://schemas.microsoft.com/office/drawing/2014/main" id="{32A1FA3E-24EB-2EB5-EC3A-D9EA2FEB2D96}"/>
              </a:ext>
            </a:extLst>
          </xdr:cNvPr>
          <xdr:cNvCxnSpPr/>
        </xdr:nvCxnSpPr>
        <xdr:spPr>
          <a:xfrm>
            <a:off x="1066159" y="3288949"/>
            <a:ext cx="391886" cy="0"/>
          </a:xfrm>
          <a:prstGeom prst="straightConnector1">
            <a:avLst/>
          </a:prstGeom>
          <a:ln w="34925"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2" name="Conector reto 11">
            <a:extLst>
              <a:ext uri="{FF2B5EF4-FFF2-40B4-BE49-F238E27FC236}">
                <a16:creationId xmlns:a16="http://schemas.microsoft.com/office/drawing/2014/main" id="{72C676C6-8DA5-0E94-2F8E-18BFEA3367F0}"/>
              </a:ext>
            </a:extLst>
          </xdr:cNvPr>
          <xdr:cNvCxnSpPr/>
        </xdr:nvCxnSpPr>
        <xdr:spPr>
          <a:xfrm>
            <a:off x="1423147" y="1860176"/>
            <a:ext cx="8425" cy="2671017"/>
          </a:xfrm>
          <a:prstGeom prst="line">
            <a:avLst/>
          </a:prstGeom>
          <a:ln w="34925"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9" name="Conector de Seta Reta 38">
            <a:extLst>
              <a:ext uri="{FF2B5EF4-FFF2-40B4-BE49-F238E27FC236}">
                <a16:creationId xmlns:a16="http://schemas.microsoft.com/office/drawing/2014/main" id="{69708A9F-3AC6-9B81-8F2B-60663B71DB3D}"/>
              </a:ext>
            </a:extLst>
          </xdr:cNvPr>
          <xdr:cNvCxnSpPr/>
        </xdr:nvCxnSpPr>
        <xdr:spPr>
          <a:xfrm>
            <a:off x="1071602" y="4524873"/>
            <a:ext cx="391886" cy="0"/>
          </a:xfrm>
          <a:prstGeom prst="straightConnector1">
            <a:avLst/>
          </a:prstGeom>
          <a:ln w="34925"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2" name="Conector de Seta Reta 41">
            <a:extLst>
              <a:ext uri="{FF2B5EF4-FFF2-40B4-BE49-F238E27FC236}">
                <a16:creationId xmlns:a16="http://schemas.microsoft.com/office/drawing/2014/main" id="{D1F25A3F-1CB3-6E04-D42C-B2D834EF0B8A}"/>
              </a:ext>
            </a:extLst>
          </xdr:cNvPr>
          <xdr:cNvCxnSpPr/>
        </xdr:nvCxnSpPr>
        <xdr:spPr>
          <a:xfrm>
            <a:off x="1412592" y="1848751"/>
            <a:ext cx="527129" cy="0"/>
          </a:xfrm>
          <a:prstGeom prst="straightConnector1">
            <a:avLst/>
          </a:prstGeom>
          <a:ln w="34925"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11527</xdr:colOff>
      <xdr:row>5</xdr:row>
      <xdr:rowOff>231960</xdr:rowOff>
    </xdr:from>
    <xdr:to>
      <xdr:col>5</xdr:col>
      <xdr:colOff>7283</xdr:colOff>
      <xdr:row>11</xdr:row>
      <xdr:rowOff>172009</xdr:rowOff>
    </xdr:to>
    <xdr:grpSp>
      <xdr:nvGrpSpPr>
        <xdr:cNvPr id="28" name="Agrupar 27">
          <a:extLst>
            <a:ext uri="{FF2B5EF4-FFF2-40B4-BE49-F238E27FC236}">
              <a16:creationId xmlns:a16="http://schemas.microsoft.com/office/drawing/2014/main" id="{173A7227-17FF-AC51-7B48-CB804DFBAB5F}"/>
            </a:ext>
          </a:extLst>
        </xdr:cNvPr>
        <xdr:cNvGrpSpPr/>
      </xdr:nvGrpSpPr>
      <xdr:grpSpPr>
        <a:xfrm>
          <a:off x="3277241" y="1238889"/>
          <a:ext cx="866613" cy="1259941"/>
          <a:chOff x="12841784" y="981073"/>
          <a:chExt cx="848524" cy="1243594"/>
        </a:xfrm>
      </xdr:grpSpPr>
      <xdr:cxnSp macro="">
        <xdr:nvCxnSpPr>
          <xdr:cNvPr id="5" name="Conector de Seta Reta 4">
            <a:extLst>
              <a:ext uri="{FF2B5EF4-FFF2-40B4-BE49-F238E27FC236}">
                <a16:creationId xmlns:a16="http://schemas.microsoft.com/office/drawing/2014/main" id="{EA04ECB8-5D7B-2747-D246-B8B4091AF304}"/>
              </a:ext>
            </a:extLst>
          </xdr:cNvPr>
          <xdr:cNvCxnSpPr/>
        </xdr:nvCxnSpPr>
        <xdr:spPr>
          <a:xfrm flipV="1">
            <a:off x="12841784" y="2210028"/>
            <a:ext cx="328862" cy="0"/>
          </a:xfrm>
          <a:prstGeom prst="straightConnector1">
            <a:avLst/>
          </a:prstGeom>
          <a:ln w="34925"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" name="Conector reto 6">
            <a:extLst>
              <a:ext uri="{FF2B5EF4-FFF2-40B4-BE49-F238E27FC236}">
                <a16:creationId xmlns:a16="http://schemas.microsoft.com/office/drawing/2014/main" id="{06E98BAE-E5EC-1DED-339A-5BCA75D18ED7}"/>
              </a:ext>
            </a:extLst>
          </xdr:cNvPr>
          <xdr:cNvCxnSpPr/>
        </xdr:nvCxnSpPr>
        <xdr:spPr>
          <a:xfrm rot="10800000" flipH="1">
            <a:off x="13146656" y="981073"/>
            <a:ext cx="4512" cy="1243594"/>
          </a:xfrm>
          <a:prstGeom prst="line">
            <a:avLst/>
          </a:prstGeom>
          <a:ln w="34925"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0" name="Conector de Seta Reta 19">
            <a:extLst>
              <a:ext uri="{FF2B5EF4-FFF2-40B4-BE49-F238E27FC236}">
                <a16:creationId xmlns:a16="http://schemas.microsoft.com/office/drawing/2014/main" id="{F57FF603-795C-4C7A-BE3D-A3A0D8C73153}"/>
              </a:ext>
            </a:extLst>
          </xdr:cNvPr>
          <xdr:cNvCxnSpPr/>
        </xdr:nvCxnSpPr>
        <xdr:spPr>
          <a:xfrm>
            <a:off x="13162837" y="1568996"/>
            <a:ext cx="527471" cy="3473"/>
          </a:xfrm>
          <a:prstGeom prst="straightConnector1">
            <a:avLst/>
          </a:prstGeom>
          <a:ln w="34925"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9" name="Conector de Seta Reta 18">
            <a:extLst>
              <a:ext uri="{FF2B5EF4-FFF2-40B4-BE49-F238E27FC236}">
                <a16:creationId xmlns:a16="http://schemas.microsoft.com/office/drawing/2014/main" id="{DBA4D3E0-656F-4F5E-9ACF-7CF8EF9B7E88}"/>
              </a:ext>
            </a:extLst>
          </xdr:cNvPr>
          <xdr:cNvCxnSpPr/>
        </xdr:nvCxnSpPr>
        <xdr:spPr>
          <a:xfrm flipV="1">
            <a:off x="12855022" y="996476"/>
            <a:ext cx="328862" cy="0"/>
          </a:xfrm>
          <a:prstGeom prst="straightConnector1">
            <a:avLst/>
          </a:prstGeom>
          <a:ln w="34925"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5</xdr:col>
      <xdr:colOff>1448469</xdr:colOff>
      <xdr:row>9</xdr:row>
      <xdr:rowOff>19712</xdr:rowOff>
    </xdr:from>
    <xdr:to>
      <xdr:col>7</xdr:col>
      <xdr:colOff>14173</xdr:colOff>
      <xdr:row>15</xdr:row>
      <xdr:rowOff>15039</xdr:rowOff>
    </xdr:to>
    <xdr:grpSp>
      <xdr:nvGrpSpPr>
        <xdr:cNvPr id="57" name="Agrupar 56">
          <a:extLst>
            <a:ext uri="{FF2B5EF4-FFF2-40B4-BE49-F238E27FC236}">
              <a16:creationId xmlns:a16="http://schemas.microsoft.com/office/drawing/2014/main" id="{2DDFFEC3-DF2E-608B-5CF5-075038C52B23}"/>
            </a:ext>
          </a:extLst>
        </xdr:cNvPr>
        <xdr:cNvGrpSpPr/>
      </xdr:nvGrpSpPr>
      <xdr:grpSpPr>
        <a:xfrm>
          <a:off x="5585040" y="1897498"/>
          <a:ext cx="892526" cy="1288005"/>
          <a:chOff x="5591843" y="4809961"/>
          <a:chExt cx="888401" cy="1268130"/>
        </a:xfrm>
      </xdr:grpSpPr>
      <xdr:cxnSp macro="">
        <xdr:nvCxnSpPr>
          <xdr:cNvPr id="46" name="Conector de Seta Reta 45">
            <a:extLst>
              <a:ext uri="{FF2B5EF4-FFF2-40B4-BE49-F238E27FC236}">
                <a16:creationId xmlns:a16="http://schemas.microsoft.com/office/drawing/2014/main" id="{297DC916-BDDB-4C29-B1B0-A4C1D6E2911D}"/>
              </a:ext>
            </a:extLst>
          </xdr:cNvPr>
          <xdr:cNvCxnSpPr/>
        </xdr:nvCxnSpPr>
        <xdr:spPr>
          <a:xfrm>
            <a:off x="5591843" y="4809961"/>
            <a:ext cx="393160" cy="0"/>
          </a:xfrm>
          <a:prstGeom prst="straightConnector1">
            <a:avLst/>
          </a:prstGeom>
          <a:ln w="34925"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7" name="Conector reto 46">
            <a:extLst>
              <a:ext uri="{FF2B5EF4-FFF2-40B4-BE49-F238E27FC236}">
                <a16:creationId xmlns:a16="http://schemas.microsoft.com/office/drawing/2014/main" id="{41CC28D2-D3BE-4049-A9AF-7C5CFFD11B21}"/>
              </a:ext>
            </a:extLst>
          </xdr:cNvPr>
          <xdr:cNvCxnSpPr/>
        </xdr:nvCxnSpPr>
        <xdr:spPr>
          <a:xfrm>
            <a:off x="5966140" y="4822845"/>
            <a:ext cx="4793" cy="1254105"/>
          </a:xfrm>
          <a:prstGeom prst="line">
            <a:avLst/>
          </a:prstGeom>
          <a:ln w="34925"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8" name="Conector de Seta Reta 47">
            <a:extLst>
              <a:ext uri="{FF2B5EF4-FFF2-40B4-BE49-F238E27FC236}">
                <a16:creationId xmlns:a16="http://schemas.microsoft.com/office/drawing/2014/main" id="{3A7B73FE-74FA-4677-8E05-997D15499F10}"/>
              </a:ext>
            </a:extLst>
          </xdr:cNvPr>
          <xdr:cNvCxnSpPr/>
        </xdr:nvCxnSpPr>
        <xdr:spPr>
          <a:xfrm>
            <a:off x="5597303" y="6078091"/>
            <a:ext cx="393160" cy="0"/>
          </a:xfrm>
          <a:prstGeom prst="straightConnector1">
            <a:avLst/>
          </a:prstGeom>
          <a:ln w="34925"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8" name="Conector de Seta Reta 57">
            <a:extLst>
              <a:ext uri="{FF2B5EF4-FFF2-40B4-BE49-F238E27FC236}">
                <a16:creationId xmlns:a16="http://schemas.microsoft.com/office/drawing/2014/main" id="{138A5967-CEC0-5AB7-6B94-B0979C69AC69}"/>
              </a:ext>
            </a:extLst>
          </xdr:cNvPr>
          <xdr:cNvCxnSpPr/>
        </xdr:nvCxnSpPr>
        <xdr:spPr>
          <a:xfrm>
            <a:off x="5937243" y="4811813"/>
            <a:ext cx="543001" cy="3487"/>
          </a:xfrm>
          <a:prstGeom prst="straightConnector1">
            <a:avLst/>
          </a:prstGeom>
          <a:ln w="34925"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7</xdr:col>
      <xdr:colOff>1437601</xdr:colOff>
      <xdr:row>8</xdr:row>
      <xdr:rowOff>176561</xdr:rowOff>
    </xdr:from>
    <xdr:to>
      <xdr:col>9</xdr:col>
      <xdr:colOff>9292</xdr:colOff>
      <xdr:row>15</xdr:row>
      <xdr:rowOff>218334</xdr:rowOff>
    </xdr:to>
    <xdr:grpSp>
      <xdr:nvGrpSpPr>
        <xdr:cNvPr id="63" name="Agrupar 62">
          <a:extLst>
            <a:ext uri="{FF2B5EF4-FFF2-40B4-BE49-F238E27FC236}">
              <a16:creationId xmlns:a16="http://schemas.microsoft.com/office/drawing/2014/main" id="{42B529D7-6A74-83EE-41BD-5D26662632B4}"/>
            </a:ext>
          </a:extLst>
        </xdr:cNvPr>
        <xdr:cNvGrpSpPr/>
      </xdr:nvGrpSpPr>
      <xdr:grpSpPr>
        <a:xfrm>
          <a:off x="7900994" y="1863847"/>
          <a:ext cx="639977" cy="1524951"/>
          <a:chOff x="12846360" y="991507"/>
          <a:chExt cx="629492" cy="1499021"/>
        </a:xfrm>
      </xdr:grpSpPr>
      <xdr:cxnSp macro="">
        <xdr:nvCxnSpPr>
          <xdr:cNvPr id="65" name="Conector reto 64">
            <a:extLst>
              <a:ext uri="{FF2B5EF4-FFF2-40B4-BE49-F238E27FC236}">
                <a16:creationId xmlns:a16="http://schemas.microsoft.com/office/drawing/2014/main" id="{60AE1D9C-4463-1EB8-1BF3-72297FEC0E8B}"/>
              </a:ext>
            </a:extLst>
          </xdr:cNvPr>
          <xdr:cNvCxnSpPr/>
        </xdr:nvCxnSpPr>
        <xdr:spPr>
          <a:xfrm flipV="1">
            <a:off x="13151167" y="991507"/>
            <a:ext cx="0" cy="1494466"/>
          </a:xfrm>
          <a:prstGeom prst="line">
            <a:avLst/>
          </a:prstGeom>
          <a:ln w="34925"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6" name="Conector de Seta Reta 65">
            <a:extLst>
              <a:ext uri="{FF2B5EF4-FFF2-40B4-BE49-F238E27FC236}">
                <a16:creationId xmlns:a16="http://schemas.microsoft.com/office/drawing/2014/main" id="{5500D2AD-C92B-6533-F2B8-8443E5D0798E}"/>
              </a:ext>
            </a:extLst>
          </xdr:cNvPr>
          <xdr:cNvCxnSpPr/>
        </xdr:nvCxnSpPr>
        <xdr:spPr>
          <a:xfrm>
            <a:off x="13139962" y="1633373"/>
            <a:ext cx="335890" cy="1903"/>
          </a:xfrm>
          <a:prstGeom prst="straightConnector1">
            <a:avLst/>
          </a:prstGeom>
          <a:ln w="34925"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7" name="Conector de Seta Reta 66">
            <a:extLst>
              <a:ext uri="{FF2B5EF4-FFF2-40B4-BE49-F238E27FC236}">
                <a16:creationId xmlns:a16="http://schemas.microsoft.com/office/drawing/2014/main" id="{C47C066B-0070-E285-9B64-BD0FEECEB9F2}"/>
              </a:ext>
            </a:extLst>
          </xdr:cNvPr>
          <xdr:cNvCxnSpPr/>
        </xdr:nvCxnSpPr>
        <xdr:spPr>
          <a:xfrm flipV="1">
            <a:off x="12855022" y="996476"/>
            <a:ext cx="328862" cy="0"/>
          </a:xfrm>
          <a:prstGeom prst="straightConnector1">
            <a:avLst/>
          </a:prstGeom>
          <a:ln w="34925"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8" name="Conector de Seta Reta 67">
            <a:extLst>
              <a:ext uri="{FF2B5EF4-FFF2-40B4-BE49-F238E27FC236}">
                <a16:creationId xmlns:a16="http://schemas.microsoft.com/office/drawing/2014/main" id="{CEC6BEBB-4BBB-CA30-B2BA-5C12C792BF9E}"/>
              </a:ext>
            </a:extLst>
          </xdr:cNvPr>
          <xdr:cNvCxnSpPr/>
        </xdr:nvCxnSpPr>
        <xdr:spPr>
          <a:xfrm flipV="1">
            <a:off x="12846360" y="2490528"/>
            <a:ext cx="328862" cy="0"/>
          </a:xfrm>
          <a:prstGeom prst="straightConnector1">
            <a:avLst/>
          </a:prstGeom>
          <a:ln w="34925"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</xdr:col>
      <xdr:colOff>1427893</xdr:colOff>
      <xdr:row>15</xdr:row>
      <xdr:rowOff>15974</xdr:rowOff>
    </xdr:from>
    <xdr:to>
      <xdr:col>5</xdr:col>
      <xdr:colOff>7237</xdr:colOff>
      <xdr:row>32</xdr:row>
      <xdr:rowOff>22411</xdr:rowOff>
    </xdr:to>
    <xdr:grpSp>
      <xdr:nvGrpSpPr>
        <xdr:cNvPr id="73" name="Agrupar 72">
          <a:extLst>
            <a:ext uri="{FF2B5EF4-FFF2-40B4-BE49-F238E27FC236}">
              <a16:creationId xmlns:a16="http://schemas.microsoft.com/office/drawing/2014/main" id="{CB755251-4E77-D427-089A-3BE41A40B026}"/>
            </a:ext>
          </a:extLst>
        </xdr:cNvPr>
        <xdr:cNvGrpSpPr/>
      </xdr:nvGrpSpPr>
      <xdr:grpSpPr>
        <a:xfrm>
          <a:off x="3264857" y="3186438"/>
          <a:ext cx="878951" cy="4238259"/>
          <a:chOff x="1066159" y="1848751"/>
          <a:chExt cx="873562" cy="2682442"/>
        </a:xfrm>
      </xdr:grpSpPr>
      <xdr:cxnSp macro="">
        <xdr:nvCxnSpPr>
          <xdr:cNvPr id="75" name="Conector reto 74">
            <a:extLst>
              <a:ext uri="{FF2B5EF4-FFF2-40B4-BE49-F238E27FC236}">
                <a16:creationId xmlns:a16="http://schemas.microsoft.com/office/drawing/2014/main" id="{0FF0F487-6264-A579-8D2B-6315045CE1CB}"/>
              </a:ext>
            </a:extLst>
          </xdr:cNvPr>
          <xdr:cNvCxnSpPr/>
        </xdr:nvCxnSpPr>
        <xdr:spPr>
          <a:xfrm>
            <a:off x="1423147" y="1860176"/>
            <a:ext cx="8425" cy="2671017"/>
          </a:xfrm>
          <a:prstGeom prst="line">
            <a:avLst/>
          </a:prstGeom>
          <a:ln w="34925"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6" name="Conector de Seta Reta 75">
            <a:extLst>
              <a:ext uri="{FF2B5EF4-FFF2-40B4-BE49-F238E27FC236}">
                <a16:creationId xmlns:a16="http://schemas.microsoft.com/office/drawing/2014/main" id="{1CB6A255-6373-A103-9A5C-3EEE8FB53A14}"/>
              </a:ext>
            </a:extLst>
          </xdr:cNvPr>
          <xdr:cNvCxnSpPr/>
        </xdr:nvCxnSpPr>
        <xdr:spPr>
          <a:xfrm>
            <a:off x="1071602" y="4524873"/>
            <a:ext cx="391886" cy="0"/>
          </a:xfrm>
          <a:prstGeom prst="straightConnector1">
            <a:avLst/>
          </a:prstGeom>
          <a:ln w="34925"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7" name="Conector de Seta Reta 76">
            <a:extLst>
              <a:ext uri="{FF2B5EF4-FFF2-40B4-BE49-F238E27FC236}">
                <a16:creationId xmlns:a16="http://schemas.microsoft.com/office/drawing/2014/main" id="{67E163AD-16AD-2079-52F1-7C9CBF2B7180}"/>
              </a:ext>
            </a:extLst>
          </xdr:cNvPr>
          <xdr:cNvCxnSpPr/>
        </xdr:nvCxnSpPr>
        <xdr:spPr>
          <a:xfrm>
            <a:off x="1412592" y="1848751"/>
            <a:ext cx="527129" cy="0"/>
          </a:xfrm>
          <a:prstGeom prst="straightConnector1">
            <a:avLst/>
          </a:prstGeom>
          <a:ln w="34925"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8" name="Conector de Seta Reta 77">
            <a:extLst>
              <a:ext uri="{FF2B5EF4-FFF2-40B4-BE49-F238E27FC236}">
                <a16:creationId xmlns:a16="http://schemas.microsoft.com/office/drawing/2014/main" id="{67B79C90-7AB4-1AA3-9E5E-48F5699300B7}"/>
              </a:ext>
            </a:extLst>
          </xdr:cNvPr>
          <xdr:cNvCxnSpPr/>
        </xdr:nvCxnSpPr>
        <xdr:spPr>
          <a:xfrm>
            <a:off x="1066159" y="3692024"/>
            <a:ext cx="391886" cy="0"/>
          </a:xfrm>
          <a:prstGeom prst="straightConnector1">
            <a:avLst/>
          </a:prstGeom>
          <a:ln w="34925"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9" name="Conector de Seta Reta 78">
            <a:extLst>
              <a:ext uri="{FF2B5EF4-FFF2-40B4-BE49-F238E27FC236}">
                <a16:creationId xmlns:a16="http://schemas.microsoft.com/office/drawing/2014/main" id="{0F53D70F-CA61-64D0-8877-7564B88788A4}"/>
              </a:ext>
            </a:extLst>
          </xdr:cNvPr>
          <xdr:cNvCxnSpPr/>
        </xdr:nvCxnSpPr>
        <xdr:spPr>
          <a:xfrm>
            <a:off x="1082567" y="2901786"/>
            <a:ext cx="391886" cy="0"/>
          </a:xfrm>
          <a:prstGeom prst="straightConnector1">
            <a:avLst/>
          </a:prstGeom>
          <a:ln w="34925"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8</xdr:col>
      <xdr:colOff>4189</xdr:colOff>
      <xdr:row>20</xdr:row>
      <xdr:rowOff>228860</xdr:rowOff>
    </xdr:from>
    <xdr:to>
      <xdr:col>9</xdr:col>
      <xdr:colOff>15040</xdr:colOff>
      <xdr:row>32</xdr:row>
      <xdr:rowOff>55540</xdr:rowOff>
    </xdr:to>
    <xdr:grpSp>
      <xdr:nvGrpSpPr>
        <xdr:cNvPr id="95" name="Agrupar 94">
          <a:extLst>
            <a:ext uri="{FF2B5EF4-FFF2-40B4-BE49-F238E27FC236}">
              <a16:creationId xmlns:a16="http://schemas.microsoft.com/office/drawing/2014/main" id="{85B303E6-6304-7D63-E087-2D0D8D35FD59}"/>
            </a:ext>
          </a:extLst>
        </xdr:cNvPr>
        <xdr:cNvGrpSpPr/>
      </xdr:nvGrpSpPr>
      <xdr:grpSpPr>
        <a:xfrm>
          <a:off x="7909939" y="4623967"/>
          <a:ext cx="636780" cy="2833859"/>
          <a:chOff x="7870718" y="4565536"/>
          <a:chExt cx="638381" cy="2807445"/>
        </a:xfrm>
      </xdr:grpSpPr>
      <xdr:cxnSp macro="">
        <xdr:nvCxnSpPr>
          <xdr:cNvPr id="81" name="Conector reto 80">
            <a:extLst>
              <a:ext uri="{FF2B5EF4-FFF2-40B4-BE49-F238E27FC236}">
                <a16:creationId xmlns:a16="http://schemas.microsoft.com/office/drawing/2014/main" id="{F9647417-59F9-0BA2-BF34-E25BE1340BE5}"/>
              </a:ext>
            </a:extLst>
          </xdr:cNvPr>
          <xdr:cNvCxnSpPr/>
        </xdr:nvCxnSpPr>
        <xdr:spPr>
          <a:xfrm>
            <a:off x="8234962" y="4571792"/>
            <a:ext cx="3090" cy="2801189"/>
          </a:xfrm>
          <a:prstGeom prst="line">
            <a:avLst/>
          </a:prstGeom>
          <a:ln w="34925"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2" name="Conector de Seta Reta 81">
            <a:extLst>
              <a:ext uri="{FF2B5EF4-FFF2-40B4-BE49-F238E27FC236}">
                <a16:creationId xmlns:a16="http://schemas.microsoft.com/office/drawing/2014/main" id="{B5F3BCAD-C137-8D11-2CA5-C071354D8B71}"/>
              </a:ext>
            </a:extLst>
          </xdr:cNvPr>
          <xdr:cNvCxnSpPr/>
        </xdr:nvCxnSpPr>
        <xdr:spPr>
          <a:xfrm>
            <a:off x="7875313" y="7366426"/>
            <a:ext cx="371556" cy="0"/>
          </a:xfrm>
          <a:prstGeom prst="straightConnector1">
            <a:avLst/>
          </a:prstGeom>
          <a:ln w="34925"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3" name="Conector de Seta Reta 82">
            <a:extLst>
              <a:ext uri="{FF2B5EF4-FFF2-40B4-BE49-F238E27FC236}">
                <a16:creationId xmlns:a16="http://schemas.microsoft.com/office/drawing/2014/main" id="{6F8FF032-F121-581E-5D15-65833D08C95E}"/>
              </a:ext>
            </a:extLst>
          </xdr:cNvPr>
          <xdr:cNvCxnSpPr/>
        </xdr:nvCxnSpPr>
        <xdr:spPr>
          <a:xfrm>
            <a:off x="8222951" y="4565536"/>
            <a:ext cx="286148" cy="0"/>
          </a:xfrm>
          <a:prstGeom prst="straightConnector1">
            <a:avLst/>
          </a:prstGeom>
          <a:ln w="34925"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6" name="Conector de Seta Reta 85">
            <a:extLst>
              <a:ext uri="{FF2B5EF4-FFF2-40B4-BE49-F238E27FC236}">
                <a16:creationId xmlns:a16="http://schemas.microsoft.com/office/drawing/2014/main" id="{6D12818C-C89E-72A3-9D02-EA8A17F96A7F}"/>
              </a:ext>
            </a:extLst>
          </xdr:cNvPr>
          <xdr:cNvCxnSpPr/>
        </xdr:nvCxnSpPr>
        <xdr:spPr>
          <a:xfrm>
            <a:off x="7871302" y="5788488"/>
            <a:ext cx="371764" cy="0"/>
          </a:xfrm>
          <a:prstGeom prst="straightConnector1">
            <a:avLst/>
          </a:prstGeom>
          <a:ln w="34925"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0" name="Conector de Seta Reta 89">
            <a:extLst>
              <a:ext uri="{FF2B5EF4-FFF2-40B4-BE49-F238E27FC236}">
                <a16:creationId xmlns:a16="http://schemas.microsoft.com/office/drawing/2014/main" id="{735E33C9-C63B-B7FB-6985-6BA7860652E0}"/>
              </a:ext>
            </a:extLst>
          </xdr:cNvPr>
          <xdr:cNvCxnSpPr/>
        </xdr:nvCxnSpPr>
        <xdr:spPr>
          <a:xfrm>
            <a:off x="7870718" y="4573683"/>
            <a:ext cx="379955" cy="0"/>
          </a:xfrm>
          <a:prstGeom prst="straightConnector1">
            <a:avLst/>
          </a:prstGeom>
          <a:ln w="34925"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3247</xdr:colOff>
      <xdr:row>12</xdr:row>
      <xdr:rowOff>22411</xdr:rowOff>
    </xdr:from>
    <xdr:to>
      <xdr:col>11</xdr:col>
      <xdr:colOff>9292</xdr:colOff>
      <xdr:row>20</xdr:row>
      <xdr:rowOff>240746</xdr:rowOff>
    </xdr:to>
    <xdr:grpSp>
      <xdr:nvGrpSpPr>
        <xdr:cNvPr id="96" name="Agrupar 95">
          <a:extLst>
            <a:ext uri="{FF2B5EF4-FFF2-40B4-BE49-F238E27FC236}">
              <a16:creationId xmlns:a16="http://schemas.microsoft.com/office/drawing/2014/main" id="{35FC18E1-BAD5-FAE6-3B1B-11C781F6451B}"/>
            </a:ext>
          </a:extLst>
        </xdr:cNvPr>
        <xdr:cNvGrpSpPr/>
      </xdr:nvGrpSpPr>
      <xdr:grpSpPr>
        <a:xfrm>
          <a:off x="9977283" y="2539732"/>
          <a:ext cx="876902" cy="2096121"/>
          <a:chOff x="12846360" y="991507"/>
          <a:chExt cx="629492" cy="1499021"/>
        </a:xfrm>
      </xdr:grpSpPr>
      <xdr:cxnSp macro="">
        <xdr:nvCxnSpPr>
          <xdr:cNvPr id="97" name="Conector reto 96">
            <a:extLst>
              <a:ext uri="{FF2B5EF4-FFF2-40B4-BE49-F238E27FC236}">
                <a16:creationId xmlns:a16="http://schemas.microsoft.com/office/drawing/2014/main" id="{BBA32143-DA8F-5CF9-C7EE-B56B8600E108}"/>
              </a:ext>
            </a:extLst>
          </xdr:cNvPr>
          <xdr:cNvCxnSpPr/>
        </xdr:nvCxnSpPr>
        <xdr:spPr>
          <a:xfrm flipV="1">
            <a:off x="13151167" y="991507"/>
            <a:ext cx="0" cy="1494466"/>
          </a:xfrm>
          <a:prstGeom prst="line">
            <a:avLst/>
          </a:prstGeom>
          <a:ln w="34925"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8" name="Conector de Seta Reta 97">
            <a:extLst>
              <a:ext uri="{FF2B5EF4-FFF2-40B4-BE49-F238E27FC236}">
                <a16:creationId xmlns:a16="http://schemas.microsoft.com/office/drawing/2014/main" id="{E806EE15-C5ED-2146-EF8E-87217A5E6E20}"/>
              </a:ext>
            </a:extLst>
          </xdr:cNvPr>
          <xdr:cNvCxnSpPr/>
        </xdr:nvCxnSpPr>
        <xdr:spPr>
          <a:xfrm>
            <a:off x="13139962" y="1633373"/>
            <a:ext cx="335890" cy="1903"/>
          </a:xfrm>
          <a:prstGeom prst="straightConnector1">
            <a:avLst/>
          </a:prstGeom>
          <a:ln w="34925"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9" name="Conector de Seta Reta 98">
            <a:extLst>
              <a:ext uri="{FF2B5EF4-FFF2-40B4-BE49-F238E27FC236}">
                <a16:creationId xmlns:a16="http://schemas.microsoft.com/office/drawing/2014/main" id="{5B9B37C3-5F45-16D4-0BC6-68F2B928F15B}"/>
              </a:ext>
            </a:extLst>
          </xdr:cNvPr>
          <xdr:cNvCxnSpPr/>
        </xdr:nvCxnSpPr>
        <xdr:spPr>
          <a:xfrm flipV="1">
            <a:off x="12855022" y="996476"/>
            <a:ext cx="328862" cy="0"/>
          </a:xfrm>
          <a:prstGeom prst="straightConnector1">
            <a:avLst/>
          </a:prstGeom>
          <a:ln w="34925"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0" name="Conector de Seta Reta 99">
            <a:extLst>
              <a:ext uri="{FF2B5EF4-FFF2-40B4-BE49-F238E27FC236}">
                <a16:creationId xmlns:a16="http://schemas.microsoft.com/office/drawing/2014/main" id="{E6BF33A9-D11C-C5B3-86F1-03570683A8C2}"/>
              </a:ext>
            </a:extLst>
          </xdr:cNvPr>
          <xdr:cNvCxnSpPr/>
        </xdr:nvCxnSpPr>
        <xdr:spPr>
          <a:xfrm flipV="1">
            <a:off x="12846360" y="2490528"/>
            <a:ext cx="328862" cy="0"/>
          </a:xfrm>
          <a:prstGeom prst="straightConnector1">
            <a:avLst/>
          </a:prstGeom>
          <a:ln w="34925"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9</xdr:col>
      <xdr:colOff>1428746</xdr:colOff>
      <xdr:row>25</xdr:row>
      <xdr:rowOff>224118</xdr:rowOff>
    </xdr:from>
    <xdr:to>
      <xdr:col>11</xdr:col>
      <xdr:colOff>15872</xdr:colOff>
      <xdr:row>32</xdr:row>
      <xdr:rowOff>10027</xdr:rowOff>
    </xdr:to>
    <xdr:grpSp>
      <xdr:nvGrpSpPr>
        <xdr:cNvPr id="101" name="Agrupar 100">
          <a:extLst>
            <a:ext uri="{FF2B5EF4-FFF2-40B4-BE49-F238E27FC236}">
              <a16:creationId xmlns:a16="http://schemas.microsoft.com/office/drawing/2014/main" id="{D583690C-7101-5A46-0370-DFE45873FE1C}"/>
            </a:ext>
          </a:extLst>
        </xdr:cNvPr>
        <xdr:cNvGrpSpPr/>
      </xdr:nvGrpSpPr>
      <xdr:grpSpPr>
        <a:xfrm>
          <a:off x="9960425" y="5816654"/>
          <a:ext cx="900340" cy="1595659"/>
          <a:chOff x="12822052" y="991507"/>
          <a:chExt cx="649204" cy="1499021"/>
        </a:xfrm>
      </xdr:grpSpPr>
      <xdr:cxnSp macro="">
        <xdr:nvCxnSpPr>
          <xdr:cNvPr id="102" name="Conector reto 101">
            <a:extLst>
              <a:ext uri="{FF2B5EF4-FFF2-40B4-BE49-F238E27FC236}">
                <a16:creationId xmlns:a16="http://schemas.microsoft.com/office/drawing/2014/main" id="{1D515644-C816-9306-8028-C3F5B33B2C2E}"/>
              </a:ext>
            </a:extLst>
          </xdr:cNvPr>
          <xdr:cNvCxnSpPr/>
        </xdr:nvCxnSpPr>
        <xdr:spPr>
          <a:xfrm flipV="1">
            <a:off x="13151167" y="991507"/>
            <a:ext cx="0" cy="1494466"/>
          </a:xfrm>
          <a:prstGeom prst="line">
            <a:avLst/>
          </a:prstGeom>
          <a:ln w="34925"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3" name="Conector de Seta Reta 102">
            <a:extLst>
              <a:ext uri="{FF2B5EF4-FFF2-40B4-BE49-F238E27FC236}">
                <a16:creationId xmlns:a16="http://schemas.microsoft.com/office/drawing/2014/main" id="{E31A677D-E052-74A7-6200-46703A2F0E20}"/>
              </a:ext>
            </a:extLst>
          </xdr:cNvPr>
          <xdr:cNvCxnSpPr/>
        </xdr:nvCxnSpPr>
        <xdr:spPr>
          <a:xfrm>
            <a:off x="13100063" y="2484440"/>
            <a:ext cx="371193" cy="0"/>
          </a:xfrm>
          <a:prstGeom prst="straightConnector1">
            <a:avLst/>
          </a:prstGeom>
          <a:ln w="34925"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4" name="Conector de Seta Reta 103">
            <a:extLst>
              <a:ext uri="{FF2B5EF4-FFF2-40B4-BE49-F238E27FC236}">
                <a16:creationId xmlns:a16="http://schemas.microsoft.com/office/drawing/2014/main" id="{5F60005F-B05B-C109-36DB-E4D649B92CBF}"/>
              </a:ext>
            </a:extLst>
          </xdr:cNvPr>
          <xdr:cNvCxnSpPr/>
        </xdr:nvCxnSpPr>
        <xdr:spPr>
          <a:xfrm>
            <a:off x="12822052" y="996476"/>
            <a:ext cx="361833" cy="0"/>
          </a:xfrm>
          <a:prstGeom prst="straightConnector1">
            <a:avLst/>
          </a:prstGeom>
          <a:ln w="34925"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5" name="Conector de Seta Reta 104">
            <a:extLst>
              <a:ext uri="{FF2B5EF4-FFF2-40B4-BE49-F238E27FC236}">
                <a16:creationId xmlns:a16="http://schemas.microsoft.com/office/drawing/2014/main" id="{CC1E18F4-3563-6556-D994-B4E131E16B03}"/>
              </a:ext>
            </a:extLst>
          </xdr:cNvPr>
          <xdr:cNvCxnSpPr/>
        </xdr:nvCxnSpPr>
        <xdr:spPr>
          <a:xfrm>
            <a:off x="12827044" y="2490528"/>
            <a:ext cx="348177" cy="0"/>
          </a:xfrm>
          <a:prstGeom prst="straightConnector1">
            <a:avLst/>
          </a:prstGeom>
          <a:ln w="34925"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11</xdr:col>
      <xdr:colOff>1510916</xdr:colOff>
      <xdr:row>15</xdr:row>
      <xdr:rowOff>184944</xdr:rowOff>
    </xdr:from>
    <xdr:to>
      <xdr:col>13</xdr:col>
      <xdr:colOff>5448</xdr:colOff>
      <xdr:row>23</xdr:row>
      <xdr:rowOff>31216</xdr:rowOff>
    </xdr:to>
    <xdr:grpSp>
      <xdr:nvGrpSpPr>
        <xdr:cNvPr id="109" name="Agrupar 108">
          <a:extLst>
            <a:ext uri="{FF2B5EF4-FFF2-40B4-BE49-F238E27FC236}">
              <a16:creationId xmlns:a16="http://schemas.microsoft.com/office/drawing/2014/main" id="{13602B71-5795-2DE8-3355-3C1C843F5321}"/>
            </a:ext>
          </a:extLst>
        </xdr:cNvPr>
        <xdr:cNvGrpSpPr/>
      </xdr:nvGrpSpPr>
      <xdr:grpSpPr>
        <a:xfrm>
          <a:off x="12355809" y="3355408"/>
          <a:ext cx="875782" cy="1764879"/>
          <a:chOff x="12842519" y="991507"/>
          <a:chExt cx="623737" cy="1494466"/>
        </a:xfrm>
      </xdr:grpSpPr>
      <xdr:cxnSp macro="">
        <xdr:nvCxnSpPr>
          <xdr:cNvPr id="110" name="Conector reto 109">
            <a:extLst>
              <a:ext uri="{FF2B5EF4-FFF2-40B4-BE49-F238E27FC236}">
                <a16:creationId xmlns:a16="http://schemas.microsoft.com/office/drawing/2014/main" id="{C5B39525-FF25-A80F-B2A7-675F8CCC19D4}"/>
              </a:ext>
            </a:extLst>
          </xdr:cNvPr>
          <xdr:cNvCxnSpPr/>
        </xdr:nvCxnSpPr>
        <xdr:spPr>
          <a:xfrm flipV="1">
            <a:off x="13151167" y="991507"/>
            <a:ext cx="0" cy="1494466"/>
          </a:xfrm>
          <a:prstGeom prst="line">
            <a:avLst/>
          </a:prstGeom>
          <a:ln w="34925"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11" name="Conector de Seta Reta 110">
            <a:extLst>
              <a:ext uri="{FF2B5EF4-FFF2-40B4-BE49-F238E27FC236}">
                <a16:creationId xmlns:a16="http://schemas.microsoft.com/office/drawing/2014/main" id="{3F974459-B243-A8D9-8BF8-0A7A520AB36C}"/>
              </a:ext>
            </a:extLst>
          </xdr:cNvPr>
          <xdr:cNvCxnSpPr/>
        </xdr:nvCxnSpPr>
        <xdr:spPr>
          <a:xfrm flipV="1">
            <a:off x="13139962" y="1642818"/>
            <a:ext cx="326294" cy="470"/>
          </a:xfrm>
          <a:prstGeom prst="straightConnector1">
            <a:avLst/>
          </a:prstGeom>
          <a:ln w="34925"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12" name="Conector de Seta Reta 111">
            <a:extLst>
              <a:ext uri="{FF2B5EF4-FFF2-40B4-BE49-F238E27FC236}">
                <a16:creationId xmlns:a16="http://schemas.microsoft.com/office/drawing/2014/main" id="{7426E0A7-7EA3-D86F-9BF2-80B2399EDDAD}"/>
              </a:ext>
            </a:extLst>
          </xdr:cNvPr>
          <xdr:cNvCxnSpPr/>
        </xdr:nvCxnSpPr>
        <xdr:spPr>
          <a:xfrm>
            <a:off x="12844074" y="993402"/>
            <a:ext cx="307250" cy="4958"/>
          </a:xfrm>
          <a:prstGeom prst="straightConnector1">
            <a:avLst/>
          </a:prstGeom>
          <a:ln w="34925"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13" name="Conector de Seta Reta 112">
            <a:extLst>
              <a:ext uri="{FF2B5EF4-FFF2-40B4-BE49-F238E27FC236}">
                <a16:creationId xmlns:a16="http://schemas.microsoft.com/office/drawing/2014/main" id="{D840F1AE-8730-8F4C-E7E0-95EE8588D9ED}"/>
              </a:ext>
            </a:extLst>
          </xdr:cNvPr>
          <xdr:cNvCxnSpPr/>
        </xdr:nvCxnSpPr>
        <xdr:spPr>
          <a:xfrm>
            <a:off x="12842519" y="2465976"/>
            <a:ext cx="305996" cy="0"/>
          </a:xfrm>
          <a:prstGeom prst="straightConnector1">
            <a:avLst/>
          </a:prstGeom>
          <a:ln w="34925"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3237</xdr:colOff>
      <xdr:row>22</xdr:row>
      <xdr:rowOff>231961</xdr:rowOff>
    </xdr:from>
    <xdr:to>
      <xdr:col>13</xdr:col>
      <xdr:colOff>1351</xdr:colOff>
      <xdr:row>32</xdr:row>
      <xdr:rowOff>9525</xdr:rowOff>
    </xdr:to>
    <xdr:grpSp>
      <xdr:nvGrpSpPr>
        <xdr:cNvPr id="114" name="Agrupar 113">
          <a:extLst>
            <a:ext uri="{FF2B5EF4-FFF2-40B4-BE49-F238E27FC236}">
              <a16:creationId xmlns:a16="http://schemas.microsoft.com/office/drawing/2014/main" id="{C3044DCD-468D-D48A-6DDA-79EE15A9467D}"/>
            </a:ext>
          </a:extLst>
        </xdr:cNvPr>
        <xdr:cNvGrpSpPr/>
      </xdr:nvGrpSpPr>
      <xdr:grpSpPr>
        <a:xfrm>
          <a:off x="12358523" y="5076104"/>
          <a:ext cx="868971" cy="2335707"/>
          <a:chOff x="12838424" y="991507"/>
          <a:chExt cx="637428" cy="1499021"/>
        </a:xfrm>
      </xdr:grpSpPr>
      <xdr:cxnSp macro="">
        <xdr:nvCxnSpPr>
          <xdr:cNvPr id="115" name="Conector reto 114">
            <a:extLst>
              <a:ext uri="{FF2B5EF4-FFF2-40B4-BE49-F238E27FC236}">
                <a16:creationId xmlns:a16="http://schemas.microsoft.com/office/drawing/2014/main" id="{B53F38F7-5214-321D-0359-37BFCD417FF6}"/>
              </a:ext>
            </a:extLst>
          </xdr:cNvPr>
          <xdr:cNvCxnSpPr/>
        </xdr:nvCxnSpPr>
        <xdr:spPr>
          <a:xfrm flipV="1">
            <a:off x="13151167" y="991507"/>
            <a:ext cx="0" cy="1494466"/>
          </a:xfrm>
          <a:prstGeom prst="line">
            <a:avLst/>
          </a:prstGeom>
          <a:ln w="34925"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16" name="Conector de Seta Reta 115">
            <a:extLst>
              <a:ext uri="{FF2B5EF4-FFF2-40B4-BE49-F238E27FC236}">
                <a16:creationId xmlns:a16="http://schemas.microsoft.com/office/drawing/2014/main" id="{42F0E7B7-32B1-8052-8E01-951935B1B340}"/>
              </a:ext>
            </a:extLst>
          </xdr:cNvPr>
          <xdr:cNvCxnSpPr/>
        </xdr:nvCxnSpPr>
        <xdr:spPr>
          <a:xfrm>
            <a:off x="13139962" y="1633373"/>
            <a:ext cx="335890" cy="1903"/>
          </a:xfrm>
          <a:prstGeom prst="straightConnector1">
            <a:avLst/>
          </a:prstGeom>
          <a:ln w="34925"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18" name="Conector de Seta Reta 117">
            <a:extLst>
              <a:ext uri="{FF2B5EF4-FFF2-40B4-BE49-F238E27FC236}">
                <a16:creationId xmlns:a16="http://schemas.microsoft.com/office/drawing/2014/main" id="{ED1A4B39-B1AD-4184-8086-73ADE7A92215}"/>
              </a:ext>
            </a:extLst>
          </xdr:cNvPr>
          <xdr:cNvCxnSpPr/>
        </xdr:nvCxnSpPr>
        <xdr:spPr>
          <a:xfrm flipV="1">
            <a:off x="12838424" y="2490528"/>
            <a:ext cx="328862" cy="0"/>
          </a:xfrm>
          <a:prstGeom prst="straightConnector1">
            <a:avLst/>
          </a:prstGeom>
          <a:ln w="34925"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13</xdr:col>
      <xdr:colOff>1453245</xdr:colOff>
      <xdr:row>19</xdr:row>
      <xdr:rowOff>5443</xdr:rowOff>
    </xdr:from>
    <xdr:to>
      <xdr:col>15</xdr:col>
      <xdr:colOff>7620</xdr:colOff>
      <xdr:row>27</xdr:row>
      <xdr:rowOff>45720</xdr:rowOff>
    </xdr:to>
    <xdr:grpSp>
      <xdr:nvGrpSpPr>
        <xdr:cNvPr id="119" name="Agrupar 118">
          <a:extLst>
            <a:ext uri="{FF2B5EF4-FFF2-40B4-BE49-F238E27FC236}">
              <a16:creationId xmlns:a16="http://schemas.microsoft.com/office/drawing/2014/main" id="{CE8AC833-C04A-4648-AE49-2D9FECD4BBB9}"/>
            </a:ext>
          </a:extLst>
        </xdr:cNvPr>
        <xdr:cNvGrpSpPr/>
      </xdr:nvGrpSpPr>
      <xdr:grpSpPr>
        <a:xfrm>
          <a:off x="14679388" y="4155622"/>
          <a:ext cx="622661" cy="1999705"/>
          <a:chOff x="12818848" y="991507"/>
          <a:chExt cx="617588" cy="1512694"/>
        </a:xfrm>
      </xdr:grpSpPr>
      <xdr:cxnSp macro="">
        <xdr:nvCxnSpPr>
          <xdr:cNvPr id="120" name="Conector reto 119">
            <a:extLst>
              <a:ext uri="{FF2B5EF4-FFF2-40B4-BE49-F238E27FC236}">
                <a16:creationId xmlns:a16="http://schemas.microsoft.com/office/drawing/2014/main" id="{6A6793AF-226F-CC31-3E87-E7F885A7F1D8}"/>
              </a:ext>
            </a:extLst>
          </xdr:cNvPr>
          <xdr:cNvCxnSpPr/>
        </xdr:nvCxnSpPr>
        <xdr:spPr>
          <a:xfrm flipV="1">
            <a:off x="13151167" y="991507"/>
            <a:ext cx="0" cy="1512694"/>
          </a:xfrm>
          <a:prstGeom prst="line">
            <a:avLst/>
          </a:prstGeom>
          <a:ln w="34925"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21" name="Conector de Seta Reta 120">
            <a:extLst>
              <a:ext uri="{FF2B5EF4-FFF2-40B4-BE49-F238E27FC236}">
                <a16:creationId xmlns:a16="http://schemas.microsoft.com/office/drawing/2014/main" id="{8426FF19-2278-D622-FA37-742D2A26FF79}"/>
              </a:ext>
            </a:extLst>
          </xdr:cNvPr>
          <xdr:cNvCxnSpPr/>
        </xdr:nvCxnSpPr>
        <xdr:spPr>
          <a:xfrm>
            <a:off x="13136186" y="1697179"/>
            <a:ext cx="300250" cy="3649"/>
          </a:xfrm>
          <a:prstGeom prst="straightConnector1">
            <a:avLst/>
          </a:prstGeom>
          <a:ln w="34925"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22" name="Conector de Seta Reta 121">
            <a:extLst>
              <a:ext uri="{FF2B5EF4-FFF2-40B4-BE49-F238E27FC236}">
                <a16:creationId xmlns:a16="http://schemas.microsoft.com/office/drawing/2014/main" id="{A4D120B1-1ACE-02D9-16FB-48032FADBCD2}"/>
              </a:ext>
            </a:extLst>
          </xdr:cNvPr>
          <xdr:cNvCxnSpPr/>
        </xdr:nvCxnSpPr>
        <xdr:spPr>
          <a:xfrm flipV="1">
            <a:off x="12818848" y="998965"/>
            <a:ext cx="349516" cy="1947"/>
          </a:xfrm>
          <a:prstGeom prst="straightConnector1">
            <a:avLst/>
          </a:prstGeom>
          <a:ln w="34925"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23" name="Conector de Seta Reta 122">
            <a:extLst>
              <a:ext uri="{FF2B5EF4-FFF2-40B4-BE49-F238E27FC236}">
                <a16:creationId xmlns:a16="http://schemas.microsoft.com/office/drawing/2014/main" id="{C53527B5-253B-5687-6CFB-3073AF44EA68}"/>
              </a:ext>
            </a:extLst>
          </xdr:cNvPr>
          <xdr:cNvCxnSpPr/>
        </xdr:nvCxnSpPr>
        <xdr:spPr>
          <a:xfrm flipV="1">
            <a:off x="12827481" y="2493428"/>
            <a:ext cx="328862" cy="0"/>
          </a:xfrm>
          <a:prstGeom prst="straightConnector1">
            <a:avLst/>
          </a:prstGeom>
          <a:ln w="34925"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1C14A-11A0-4479-9537-27757A3346EA}">
  <dimension ref="D5:P49"/>
  <sheetViews>
    <sheetView showGridLines="0" topLeftCell="H19" zoomScale="70" zoomScaleNormal="70" workbookViewId="0">
      <selection activeCell="K59" sqref="K59"/>
    </sheetView>
  </sheetViews>
  <sheetFormatPr defaultRowHeight="15" x14ac:dyDescent="0.25"/>
  <cols>
    <col min="4" max="4" width="21.42578125" customWidth="1"/>
    <col min="5" max="5" width="13" customWidth="1"/>
    <col min="6" max="6" width="21.85546875" customWidth="1"/>
    <col min="7" max="7" width="13.140625" customWidth="1"/>
    <col min="8" max="8" width="21.5703125" customWidth="1"/>
    <col min="9" max="9" width="9.42578125" customWidth="1"/>
    <col min="10" max="10" width="21.5703125" customWidth="1"/>
    <col min="11" max="11" width="13.140625" customWidth="1"/>
    <col min="12" max="12" width="22.7109375" customWidth="1"/>
    <col min="13" max="13" width="13.140625" customWidth="1"/>
    <col min="14" max="14" width="21.85546875" customWidth="1"/>
    <col min="16" max="16" width="21.85546875" customWidth="1"/>
  </cols>
  <sheetData>
    <row r="5" spans="4:14" ht="19.5" thickBot="1" x14ac:dyDescent="0.35">
      <c r="D5" s="3" t="s">
        <v>0</v>
      </c>
    </row>
    <row r="6" spans="4:14" ht="18.75" customHeight="1" x14ac:dyDescent="0.25">
      <c r="D6" s="12">
        <v>8760</v>
      </c>
    </row>
    <row r="7" spans="4:14" ht="15" customHeight="1" thickBot="1" x14ac:dyDescent="0.3">
      <c r="D7" s="13"/>
    </row>
    <row r="8" spans="4:14" ht="19.5" thickBot="1" x14ac:dyDescent="0.35">
      <c r="F8" s="3" t="s">
        <v>5</v>
      </c>
      <c r="H8" s="3" t="s">
        <v>7</v>
      </c>
    </row>
    <row r="9" spans="4:14" x14ac:dyDescent="0.25">
      <c r="F9" s="12">
        <f>+D12*D6</f>
        <v>438000</v>
      </c>
      <c r="H9" s="12">
        <f>+F15*F9</f>
        <v>306600</v>
      </c>
    </row>
    <row r="10" spans="4:14" ht="16.5" customHeight="1" thickBot="1" x14ac:dyDescent="0.3">
      <c r="F10" s="13"/>
      <c r="H10" s="13"/>
    </row>
    <row r="11" spans="4:14" ht="18.75" customHeight="1" thickBot="1" x14ac:dyDescent="0.35">
      <c r="D11" s="3" t="s">
        <v>1</v>
      </c>
      <c r="F11" s="4"/>
      <c r="H11" s="4"/>
      <c r="J11" s="3" t="s">
        <v>11</v>
      </c>
      <c r="L11" s="5"/>
      <c r="M11" s="5"/>
      <c r="N11" s="5"/>
    </row>
    <row r="12" spans="4:14" ht="15" customHeight="1" x14ac:dyDescent="0.25">
      <c r="D12" s="22">
        <v>50</v>
      </c>
      <c r="J12" s="10">
        <f>+H16*H9</f>
        <v>76650</v>
      </c>
      <c r="L12" s="5"/>
      <c r="M12" s="5"/>
      <c r="N12" s="5"/>
    </row>
    <row r="13" spans="4:14" ht="15.75" customHeight="1" thickBot="1" x14ac:dyDescent="0.3">
      <c r="D13" s="23"/>
      <c r="J13" s="11"/>
      <c r="L13" s="5"/>
      <c r="M13" s="5"/>
      <c r="N13" s="5"/>
    </row>
    <row r="14" spans="4:14" ht="16.5" customHeight="1" thickBot="1" x14ac:dyDescent="0.35">
      <c r="F14" s="3" t="s">
        <v>6</v>
      </c>
      <c r="M14" s="5"/>
    </row>
    <row r="15" spans="4:14" ht="18.75" customHeight="1" thickBot="1" x14ac:dyDescent="0.35">
      <c r="F15" s="20">
        <v>0.7</v>
      </c>
      <c r="H15" s="3" t="s">
        <v>10</v>
      </c>
      <c r="L15" s="3" t="s">
        <v>16</v>
      </c>
      <c r="M15" s="5"/>
    </row>
    <row r="16" spans="4:14" ht="18.75" customHeight="1" thickBot="1" x14ac:dyDescent="0.3">
      <c r="F16" s="21"/>
      <c r="H16" s="14">
        <f>+F22-F27</f>
        <v>0.25</v>
      </c>
      <c r="L16" s="10">
        <f>+J12-J21</f>
        <v>22181</v>
      </c>
      <c r="M16" s="5"/>
    </row>
    <row r="17" spans="4:16" ht="18.75" customHeight="1" thickBot="1" x14ac:dyDescent="0.3">
      <c r="H17" s="15"/>
      <c r="L17" s="11"/>
      <c r="M17" s="5"/>
      <c r="N17" s="5"/>
    </row>
    <row r="18" spans="4:16" ht="18.75" customHeight="1" thickBot="1" x14ac:dyDescent="0.35">
      <c r="L18" s="5"/>
      <c r="M18" s="5"/>
      <c r="N18" s="3" t="s">
        <v>20</v>
      </c>
    </row>
    <row r="19" spans="4:16" ht="18.75" customHeight="1" x14ac:dyDescent="0.25">
      <c r="L19" s="5"/>
      <c r="M19" s="5"/>
      <c r="N19" s="16">
        <f>+L16/L23</f>
        <v>0.14055420724791048</v>
      </c>
    </row>
    <row r="20" spans="4:16" ht="18.75" customHeight="1" thickBot="1" x14ac:dyDescent="0.35">
      <c r="H20" s="3" t="s">
        <v>13</v>
      </c>
      <c r="J20" s="3" t="s">
        <v>12</v>
      </c>
      <c r="L20" s="5"/>
      <c r="M20" s="5"/>
      <c r="N20" s="17"/>
    </row>
    <row r="21" spans="4:16" ht="19.5" thickBot="1" x14ac:dyDescent="0.35">
      <c r="D21" s="3" t="s">
        <v>2</v>
      </c>
      <c r="E21" s="2"/>
      <c r="F21" s="3" t="s">
        <v>8</v>
      </c>
      <c r="H21" s="10">
        <v>9469</v>
      </c>
      <c r="J21" s="10">
        <f>+H21+H26+H32</f>
        <v>54469</v>
      </c>
      <c r="L21" s="5"/>
      <c r="M21" s="5"/>
    </row>
    <row r="22" spans="4:16" ht="15.75" customHeight="1" thickBot="1" x14ac:dyDescent="0.35">
      <c r="D22" s="24">
        <v>0.77</v>
      </c>
      <c r="F22" s="14">
        <v>0.6</v>
      </c>
      <c r="H22" s="11"/>
      <c r="J22" s="11"/>
      <c r="L22" s="3" t="s">
        <v>19</v>
      </c>
      <c r="M22" s="5"/>
      <c r="P22" s="3" t="s">
        <v>23</v>
      </c>
    </row>
    <row r="23" spans="4:16" ht="18.75" customHeight="1" thickBot="1" x14ac:dyDescent="0.3">
      <c r="D23" s="25"/>
      <c r="F23" s="15"/>
      <c r="I23" s="1"/>
      <c r="K23" s="1"/>
      <c r="L23" s="10">
        <v>157811</v>
      </c>
      <c r="M23" s="5"/>
      <c r="P23" s="8">
        <f>+N27*N19</f>
        <v>0.13382121374833336</v>
      </c>
    </row>
    <row r="24" spans="4:16" ht="18.75" customHeight="1" thickBot="1" x14ac:dyDescent="0.3">
      <c r="L24" s="11"/>
      <c r="P24" s="9"/>
    </row>
    <row r="25" spans="4:16" ht="20.25" customHeight="1" thickBot="1" x14ac:dyDescent="0.35">
      <c r="H25" s="3" t="s">
        <v>14</v>
      </c>
      <c r="J25" s="3" t="s">
        <v>17</v>
      </c>
    </row>
    <row r="26" spans="4:16" ht="20.25" customHeight="1" thickBot="1" x14ac:dyDescent="0.35">
      <c r="D26" s="3" t="s">
        <v>3</v>
      </c>
      <c r="F26" s="3" t="s">
        <v>9</v>
      </c>
      <c r="H26" s="10">
        <v>15000</v>
      </c>
      <c r="J26" s="10">
        <v>150000</v>
      </c>
      <c r="N26" s="3" t="s">
        <v>21</v>
      </c>
    </row>
    <row r="27" spans="4:16" ht="20.25" customHeight="1" thickBot="1" x14ac:dyDescent="0.3">
      <c r="D27" s="24">
        <v>0.85699999999999998</v>
      </c>
      <c r="F27" s="14">
        <v>0.35</v>
      </c>
      <c r="H27" s="11"/>
      <c r="J27" s="11"/>
      <c r="N27" s="18">
        <f>+L23/L32</f>
        <v>0.95209681992868822</v>
      </c>
    </row>
    <row r="28" spans="4:16" ht="20.25" customHeight="1" thickBot="1" x14ac:dyDescent="0.3">
      <c r="D28" s="25"/>
      <c r="F28" s="15"/>
      <c r="N28" s="19"/>
    </row>
    <row r="29" spans="4:16" ht="20.25" customHeight="1" x14ac:dyDescent="0.25"/>
    <row r="30" spans="4:16" ht="20.25" customHeight="1" x14ac:dyDescent="0.25">
      <c r="L30" s="1"/>
    </row>
    <row r="31" spans="4:16" ht="20.25" customHeight="1" thickBot="1" x14ac:dyDescent="0.35">
      <c r="D31" s="3" t="s">
        <v>4</v>
      </c>
      <c r="H31" s="3" t="s">
        <v>15</v>
      </c>
      <c r="J31" s="3" t="s">
        <v>18</v>
      </c>
      <c r="L31" s="3" t="s">
        <v>22</v>
      </c>
    </row>
    <row r="32" spans="4:16" ht="20.25" customHeight="1" x14ac:dyDescent="0.25">
      <c r="D32" s="24">
        <v>0.91</v>
      </c>
      <c r="H32" s="10">
        <v>30000</v>
      </c>
      <c r="J32" s="10">
        <v>15751</v>
      </c>
      <c r="L32" s="10">
        <f>+J26+J32</f>
        <v>165751</v>
      </c>
    </row>
    <row r="33" spans="4:14" ht="20.25" customHeight="1" thickBot="1" x14ac:dyDescent="0.3">
      <c r="D33" s="25"/>
      <c r="H33" s="11"/>
      <c r="J33" s="11"/>
      <c r="L33" s="11"/>
    </row>
    <row r="34" spans="4:14" ht="20.25" customHeight="1" x14ac:dyDescent="0.25"/>
    <row r="35" spans="4:14" ht="20.25" customHeight="1" x14ac:dyDescent="0.25"/>
    <row r="36" spans="4:14" x14ac:dyDescent="0.25">
      <c r="N36" s="6"/>
    </row>
    <row r="37" spans="4:14" x14ac:dyDescent="0.25">
      <c r="N37" s="6"/>
    </row>
    <row r="38" spans="4:14" x14ac:dyDescent="0.25">
      <c r="N38" s="6"/>
    </row>
    <row r="41" spans="4:14" x14ac:dyDescent="0.25">
      <c r="L41" t="s">
        <v>24</v>
      </c>
      <c r="M41" s="6">
        <f>P23</f>
        <v>0.13382121374833336</v>
      </c>
    </row>
    <row r="42" spans="4:14" x14ac:dyDescent="0.25">
      <c r="K42">
        <v>0.5</v>
      </c>
      <c r="L42" s="7">
        <f t="dataTable" ref="L42:L49" dt2D="0" dtr="1" r1="F15"/>
        <v>0.5</v>
      </c>
      <c r="M42" s="7">
        <f t="dataTable" ref="M42:M49" dt2D="0" dtr="0" r1="F15"/>
        <v>1.6953140554204801E-3</v>
      </c>
    </row>
    <row r="43" spans="4:14" x14ac:dyDescent="0.25">
      <c r="K43">
        <v>0.55000000000000004</v>
      </c>
      <c r="L43" s="7">
        <v>0.55000000000000004</v>
      </c>
      <c r="M43" s="7">
        <v>3.472678897864874E-2</v>
      </c>
    </row>
    <row r="44" spans="4:14" x14ac:dyDescent="0.25">
      <c r="K44">
        <v>0.6</v>
      </c>
      <c r="L44" s="7">
        <v>0.6</v>
      </c>
      <c r="M44" s="7">
        <v>6.7758263901876906E-2</v>
      </c>
    </row>
    <row r="45" spans="4:14" x14ac:dyDescent="0.25">
      <c r="K45">
        <v>0.65</v>
      </c>
      <c r="L45" s="7">
        <v>0.65</v>
      </c>
      <c r="M45" s="7">
        <v>0.10078973882510513</v>
      </c>
    </row>
    <row r="46" spans="4:14" x14ac:dyDescent="0.25">
      <c r="K46">
        <v>0.7</v>
      </c>
      <c r="L46" s="7">
        <v>0.7</v>
      </c>
      <c r="M46" s="7">
        <v>0.13382121374833336</v>
      </c>
    </row>
    <row r="47" spans="4:14" x14ac:dyDescent="0.25">
      <c r="K47">
        <v>0.75</v>
      </c>
      <c r="L47" s="7">
        <v>0.75</v>
      </c>
      <c r="M47" s="7">
        <v>0.16685268867156156</v>
      </c>
    </row>
    <row r="48" spans="4:14" x14ac:dyDescent="0.25">
      <c r="K48">
        <v>0.8</v>
      </c>
      <c r="L48" s="7">
        <v>0.8</v>
      </c>
      <c r="M48" s="7">
        <v>0.19988416359478978</v>
      </c>
    </row>
    <row r="49" spans="11:13" x14ac:dyDescent="0.25">
      <c r="K49">
        <v>0.85</v>
      </c>
      <c r="L49" s="7">
        <v>0.85</v>
      </c>
      <c r="M49" s="7">
        <v>0.232915638518018</v>
      </c>
    </row>
  </sheetData>
  <mergeCells count="24">
    <mergeCell ref="F27:F28"/>
    <mergeCell ref="D12:D13"/>
    <mergeCell ref="D22:D23"/>
    <mergeCell ref="D27:D28"/>
    <mergeCell ref="D32:D33"/>
    <mergeCell ref="L32:L33"/>
    <mergeCell ref="N19:N20"/>
    <mergeCell ref="N27:N28"/>
    <mergeCell ref="J12:J13"/>
    <mergeCell ref="H21:H22"/>
    <mergeCell ref="H26:H27"/>
    <mergeCell ref="H32:H33"/>
    <mergeCell ref="J26:J27"/>
    <mergeCell ref="J32:J33"/>
    <mergeCell ref="P23:P24"/>
    <mergeCell ref="J21:J22"/>
    <mergeCell ref="D6:D7"/>
    <mergeCell ref="H16:H17"/>
    <mergeCell ref="L16:L17"/>
    <mergeCell ref="L23:L24"/>
    <mergeCell ref="F9:F10"/>
    <mergeCell ref="F15:F16"/>
    <mergeCell ref="H9:H10"/>
    <mergeCell ref="F22:F23"/>
  </mergeCell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4B762-5853-4F87-8DBB-66ADB83898C4}">
  <dimension ref="C2:F10"/>
  <sheetViews>
    <sheetView tabSelected="1" workbookViewId="0">
      <selection activeCell="B1" sqref="B1:B1048576"/>
    </sheetView>
  </sheetViews>
  <sheetFormatPr defaultRowHeight="15" x14ac:dyDescent="0.25"/>
  <sheetData>
    <row r="2" spans="3:6" ht="15.75" thickBot="1" x14ac:dyDescent="0.3"/>
    <row r="3" spans="3:6" ht="60.75" thickBot="1" x14ac:dyDescent="0.3">
      <c r="C3" s="26" t="s">
        <v>25</v>
      </c>
      <c r="D3" s="26" t="s">
        <v>26</v>
      </c>
      <c r="E3" s="26" t="s">
        <v>27</v>
      </c>
      <c r="F3" s="26" t="s">
        <v>28</v>
      </c>
    </row>
    <row r="4" spans="3:6" ht="30.75" thickBot="1" x14ac:dyDescent="0.3">
      <c r="C4" s="26" t="s">
        <v>29</v>
      </c>
      <c r="D4" s="27" t="s">
        <v>30</v>
      </c>
      <c r="E4" s="27" t="s">
        <v>31</v>
      </c>
      <c r="F4" s="27" t="s">
        <v>32</v>
      </c>
    </row>
    <row r="5" spans="3:6" ht="30.75" thickBot="1" x14ac:dyDescent="0.3">
      <c r="C5" s="26" t="s">
        <v>33</v>
      </c>
      <c r="D5" s="27" t="s">
        <v>30</v>
      </c>
      <c r="E5" s="27" t="s">
        <v>31</v>
      </c>
      <c r="F5" s="27" t="s">
        <v>32</v>
      </c>
    </row>
    <row r="6" spans="3:6" ht="30.75" thickBot="1" x14ac:dyDescent="0.3">
      <c r="C6" s="26" t="s">
        <v>34</v>
      </c>
      <c r="D6" s="27" t="s">
        <v>35</v>
      </c>
      <c r="E6" s="27" t="s">
        <v>36</v>
      </c>
      <c r="F6" s="27" t="s">
        <v>37</v>
      </c>
    </row>
    <row r="7" spans="3:6" ht="30.75" thickBot="1" x14ac:dyDescent="0.3">
      <c r="C7" s="26" t="s">
        <v>38</v>
      </c>
      <c r="D7" s="27" t="s">
        <v>39</v>
      </c>
      <c r="E7" s="27" t="s">
        <v>40</v>
      </c>
      <c r="F7" s="27" t="s">
        <v>41</v>
      </c>
    </row>
    <row r="8" spans="3:6" ht="45.75" thickBot="1" x14ac:dyDescent="0.3">
      <c r="C8" s="26" t="s">
        <v>42</v>
      </c>
      <c r="D8" s="27" t="s">
        <v>43</v>
      </c>
      <c r="E8" s="27" t="s">
        <v>44</v>
      </c>
      <c r="F8" s="27" t="s">
        <v>45</v>
      </c>
    </row>
    <row r="9" spans="3:6" ht="30.75" thickBot="1" x14ac:dyDescent="0.3">
      <c r="C9" s="26" t="s">
        <v>46</v>
      </c>
      <c r="D9" s="27" t="s">
        <v>47</v>
      </c>
      <c r="E9" s="27" t="s">
        <v>48</v>
      </c>
      <c r="F9" s="27" t="s">
        <v>49</v>
      </c>
    </row>
    <row r="10" spans="3:6" ht="30.75" thickBot="1" x14ac:dyDescent="0.3">
      <c r="C10" s="26" t="s">
        <v>50</v>
      </c>
      <c r="D10" s="26" t="s">
        <v>51</v>
      </c>
      <c r="E10" s="28">
        <v>1</v>
      </c>
      <c r="F10" s="29">
        <v>18.940000000000001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Custos das maquinas com o gemin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Prado</dc:creator>
  <cp:lastModifiedBy>Antonio Prado</cp:lastModifiedBy>
  <dcterms:created xsi:type="dcterms:W3CDTF">2025-02-24T03:36:58Z</dcterms:created>
  <dcterms:modified xsi:type="dcterms:W3CDTF">2026-02-04T02:13:07Z</dcterms:modified>
</cp:coreProperties>
</file>